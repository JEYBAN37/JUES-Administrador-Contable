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officedocument.model+data" Extension="data"/>
  <Default ContentType="application/vnd.openxmlformats-package.relationships+xml" Extension="rels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customXmlProperties+xml" PartName="/customXml/itemProps3.xml"/>
  <Override ContentType="application/vnd.openxmlformats-officedocument.customXmlProperties+xml" PartName="/customXml/itemProps4.xml"/>
  <Override ContentType="application/vnd.openxmlformats-officedocument.customXmlProperties+xml" PartName="/customXml/itemProps5.xml"/>
  <Override ContentType="application/vnd.openxmlformats-officedocument.customXmlProperties+xml" PartName="/customXml/itemProps6.xml"/>
  <Override ContentType="application/vnd.openxmlformats-officedocument.customXmlProperties+xml" PartName="/customXml/itemProps7.xml"/>
  <Override ContentType="application/vnd.openxmlformats-officedocument.customXmlProperties+xml" PartName="/customXml/itemProps8.xml"/>
  <Override ContentType="application/vnd.openxmlformats-officedocument.customXmlProperties+xml" PartName="/customXml/itemProps9.xml"/>
  <Override ContentType="application/vnd.openxmlformats-officedocument.customXmlProperties+xml" PartName="/customXml/itemProps10.xml"/>
  <Override ContentType="application/vnd.openxmlformats-officedocument.customXmlProperties+xml" PartName="/customXml/itemProps11.xml"/>
  <Override ContentType="application/vnd.openxmlformats-officedocument.customXmlProperties+xml" PartName="/customXml/itemProps12.xml"/>
  <Override ContentType="application/vnd.openxmlformats-officedocument.customXmlProperties+xml" PartName="/customXml/itemProps13.xml"/>
  <Override ContentType="application/vnd.openxmlformats-officedocument.customXmlProperties+xml" PartName="/customXml/itemProps14.xml"/>
  <Override ContentType="application/vnd.openxmlformats-officedocument.customXmlProperties+xml" PartName="/customXml/itemProps15.xml"/>
  <Override ContentType="application/vnd.openxmlformats-officedocument.customXmlProperties+xml" PartName="/customXml/itemProps16.xml"/>
  <Override ContentType="application/vnd.openxmlformats-officedocument.customXmlProperties+xml" PartName="/customXml/itemProps17.xml"/>
  <Override ContentType="application/vnd.openxmlformats-officedocument.customXmlProperties+xml" PartName="/customXml/itemProps18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openxmlformats-officedocument.spreadsheetml.connections+xml" PartName="/xl/connection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pivotCacheDefinition+xml" PartName="/xl/pivotCache/pivotCacheDefinition1.xml"/>
  <Override ContentType="application/vnd.openxmlformats-officedocument.spreadsheetml.pivotCacheDefinition+xml" PartName="/xl/pivotCache/pivotCacheDefinition2.xml"/>
  <Override ContentType="application/vnd.openxmlformats-officedocument.spreadsheetml.pivotCacheDefinition+xml" PartName="/xl/pivotCache/pivotCacheDefinition3.xml"/>
  <Override ContentType="application/vnd.openxmlformats-officedocument.spreadsheetml.pivotCacheDefinition+xml" PartName="/xl/pivotCache/pivotCacheDefinition4.xml"/>
  <Override ContentType="application/vnd.openxmlformats-officedocument.spreadsheetml.pivotCacheDefinition+xml" PartName="/xl/pivotCache/pivotCacheDefinition5.xml"/>
  <Override ContentType="application/vnd.openxmlformats-officedocument.spreadsheetml.pivotCacheDefinition+xml" PartName="/xl/pivotCache/pivotCacheDefinition6.xml"/>
  <Override ContentType="application/vnd.openxmlformats-officedocument.spreadsheetml.pivotCacheDefinition+xml" PartName="/xl/pivotCache/pivotCacheDefinition7.xml"/>
  <Override ContentType="application/vnd.openxmlformats-officedocument.spreadsheetml.pivotCacheDefinition+xml" PartName="/xl/pivotCache/pivotCacheDefinition8.xml"/>
  <Override ContentType="application/vnd.openxmlformats-officedocument.spreadsheetml.pivotTable+xml" PartName="/xl/pivotTables/pivotTable1.xml"/>
  <Override ContentType="application/vnd.openxmlformats-officedocument.spreadsheetml.pivotTable+xml" PartName="/xl/pivotTables/pivotTable2.xml"/>
  <Override ContentType="application/vnd.openxmlformats-officedocument.spreadsheetml.pivotTable+xml" PartName="/xl/pivotTables/pivotTable3.xml"/>
  <Override ContentType="application/vnd.openxmlformats-officedocument.spreadsheetml.pivotTable+xml" PartName="/xl/pivotTables/pivotTable4.xml"/>
  <Override ContentType="application/vnd.openxmlformats-officedocument.spreadsheetml.sharedStrings+xml" PartName="/xl/sharedStrings.xml"/>
  <Override ContentType="application/vnd.ms-excel.slicerCache+xml" PartName="/xl/slicerCaches/slicerCache1.xml"/>
  <Override ContentType="application/vnd.ms-excel.slicerCache+xml" PartName="/xl/slicerCaches/slicerCache2.xml"/>
  <Override ContentType="application/vnd.ms-excel.slicerCache+xml" PartName="/xl/slicerCaches/slicerCache3.xml"/>
  <Override ContentType="application/vnd.ms-excel.slicerCache+xml" PartName="/xl/slicerCaches/slicerCache4.xml"/>
  <Override ContentType="application/vnd.ms-excel.slicer+xml" PartName="/xl/slicers/slicer1.xml"/>
  <Override ContentType="application/vnd.ms-excel.slicer+xml" PartName="/xl/slicers/slicer2.xml"/>
  <Override ContentType="application/vnd.ms-excel.slicer+xml" PartName="/xl/slicers/slicer3.xml"/>
  <Override ContentType="application/vnd.ms-excel.slicer+xml" PartName="/xl/slicers/slicer4.xml"/>
  <Override ContentType="application/vnd.openxmlformats-officedocument.spreadsheetml.styles+xml" PartName="/xl/styles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table+xml" PartName="/xl/tables/table3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hidePivotFieldList="1" defaultThemeVersion="166925"/>
  <mc:AlternateContent>
    <mc:Choice Requires="x15">
      <x15ac:absPath xmlns:x15ac="http://schemas.microsoft.com/office/spreadsheetml/2010/11/ac" url="D:\Portafolio Esteban\JUES\BackendApi\src\main\resources\databaseEcxel\"/>
    </mc:Choice>
  </mc:AlternateContent>
  <xr:revisionPtr revIDLastSave="0" documentId="13_ncr:1_{56C9A031-AAE3-4205-ADB1-8082771EF6B2}" xr6:coauthVersionLast="47" xr6:coauthVersionMax="47" xr10:uidLastSave="{00000000-0000-0000-0000-000000000000}"/>
  <bookViews>
    <workbookView xWindow="5565" yWindow="2760" windowWidth="21600" windowHeight="11295" activeTab="2" xr2:uid="{FD68F4C6-3424-4331-939D-EF165B59D25B}"/>
  </bookViews>
  <sheets>
    <sheet name="INVENTARIO" sheetId="1" r:id="rId1"/>
    <sheet name="VENTA" sheetId="2" r:id="rId2"/>
    <sheet name="FACTURA" sheetId="12" r:id="rId3"/>
    <sheet name="DASHBOARD" sheetId="8" r:id="rId4"/>
    <sheet name="Respuesta 1" sheetId="3" r:id="rId5"/>
    <sheet name="Respuesta 2" sheetId="6" r:id="rId6"/>
    <sheet name="Respuesta2.1" sheetId="7" r:id="rId7"/>
    <sheet name="Respuesta 2.2" sheetId="11" r:id="rId8"/>
  </sheets>
  <definedNames>
    <definedName name="_xlcn.WorksheetConnection_database1.xlsmTabla11" hidden="1">Tabla1[]</definedName>
    <definedName name="_xlcn.WorksheetConnection_database1.xlsmTabla21" hidden="1">Tabla2[]</definedName>
    <definedName name="_xlcn.WorksheetConnection_database1.xlsmTabla31" hidden="1">Tabla3[]</definedName>
    <definedName name="SegmentaciónDeDatos_Columna1">#N/A</definedName>
    <definedName name="SegmentaciónDeDatos_Columna1__mes">#N/A</definedName>
    <definedName name="SegmentaciónDeDatos_Columna2">#N/A</definedName>
    <definedName name="SegmentaciónDeDatos_Columna6">#N/A</definedName>
  </definedNames>
  <calcPr calcId="191029"/>
  <pivotCaches>
    <pivotCache cacheId="0" r:id="rId9"/>
    <pivotCache cacheId="1" r:id="rId10"/>
    <pivotCache cacheId="2" r:id="rId11"/>
    <pivotCache cacheId="3" r:id="rId12"/>
  </pivotCaches>
  <extLst>
    <ext xmlns:x14="http://schemas.microsoft.com/office/spreadsheetml/2009/9/main" uri="{876F7934-8845-4945-9796-88D515C7AA90}">
      <x14:pivotCaches>
        <pivotCache cacheId="4" r:id="rId13"/>
        <pivotCache cacheId="5" r:id="rId14"/>
        <pivotCache cacheId="6" r:id="rId15"/>
        <pivotCache cacheId="7" r:id="rId16"/>
      </x14:pivotCaches>
    </ext>
    <ext xmlns:x14="http://schemas.microsoft.com/office/spreadsheetml/2009/9/main" uri="{BBE1A952-AA13-448e-AADC-164F8A28A991}">
      <x14:slicerCaches>
        <x14:slicerCache r:id="rId17"/>
        <x14:slicerCache r:id="rId18"/>
        <x14:slicerCache r:id="rId19"/>
        <x14:slicerCache r:id="rId20"/>
      </x14:slicerCaches>
    </ext>
    <ext xmlns:x14="http://schemas.microsoft.com/office/spreadsheetml/2009/9/main" uri="{79F54976-1DA5-4618-B147-4CDE4B953A38}">
      <x14:workbookPr/>
    </ext>
    <ext uri="{140A7094-0E35-4892-8432-C4D2E57EDEB5}">
      <x15:workbookPr chartTrackingRefBase="1"/>
    </ext>
    <ext uri="{FCE2AD5D-F65C-4FA6-A056-5C36A1767C68}">
      <x15:dataModel>
        <x15:modelTables>
          <x15:modelTable id="Tabla2" name="Tabla2" connection="WorksheetConnection_database (1).xlsm!Tabla2"/>
          <x15:modelTable id="Tabla1" name="Tabla1" connection="WorksheetConnection_database (1).xlsm!Tabla1"/>
          <x15:modelTable id="Tabla3" name="Tabla3" connection="WorksheetConnection_database (1).xlsm!Tabla3"/>
        </x15:modelTables>
        <x15:extLst>
          <ext xmlns:x16="http://schemas.microsoft.com/office/spreadsheetml/2014/11/main" uri="{9835A34E-60A6-4A7C-AAB8-D5F71C897F49}">
            <x16:modelTimeGroupings>
              <x16:modelTimeGrouping tableName="Tabla2" columnName="Columna1" columnId="Columna1">
                <x16:calculatedTimeColumn columnName="Columna1 (índice de meses)" columnId="Columna1 (índice de meses)" contentType="monthsindex" isSelected="1"/>
                <x16:calculatedTimeColumn columnName="Columna1 (mes)" columnId="Columna1 (mes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6" i="11" l="1"/>
  <c r="J26" i="7"/>
  <c r="C12" i="7"/>
  <c r="B9" i="7"/>
  <c r="B10" i="7"/>
  <c r="B11" i="7"/>
  <c r="E11" i="6"/>
  <c r="E10" i="6"/>
  <c r="E9" i="6"/>
  <c r="E8" i="6"/>
  <c r="E7" i="6"/>
  <c r="E6" i="6"/>
  <c r="C9" i="6"/>
  <c r="C6" i="6"/>
  <c r="I72" i="2"/>
  <c r="I71" i="2"/>
  <c r="I70" i="2"/>
  <c r="I67" i="2"/>
  <c r="I66" i="2"/>
  <c r="I65" i="2"/>
  <c r="C9" i="7"/>
  <c r="C14" i="7"/>
  <c r="C13" i="7"/>
  <c r="C11" i="7"/>
  <c r="C10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6877BCF-E487-457A-A67E-6D954110E6BD}" keepAlive="1" name="ThisWorkbookDataModel" description="Modelo de datos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5FDAF337-CE1B-4437-B05D-6065F11B8D3D}" name="WorksheetConnection_database (1).xlsm!Tabla1" type="102" refreshedVersion="8" minRefreshableVersion="5">
    <extLst>
      <ext xmlns:x15="http://schemas.microsoft.com/office/spreadsheetml/2010/11/main" uri="{DE250136-89BD-433C-8126-D09CA5730AF9}">
        <x15:connection id="Tabla1">
          <x15:rangePr sourceName="_xlcn.WorksheetConnection_database1.xlsmTabla11"/>
        </x15:connection>
      </ext>
    </extLst>
  </connection>
  <connection id="3" xr16:uid="{79D302B6-BF3D-4A04-90B3-285B9FD7A444}" name="WorksheetConnection_database (1).xlsm!Tabla2" type="102" refreshedVersion="8" minRefreshableVersion="5">
    <extLst>
      <ext xmlns:x15="http://schemas.microsoft.com/office/spreadsheetml/2010/11/main" uri="{DE250136-89BD-433C-8126-D09CA5730AF9}">
        <x15:connection id="Tabla2">
          <x15:rangePr sourceName="_xlcn.WorksheetConnection_database1.xlsmTabla21"/>
        </x15:connection>
      </ext>
    </extLst>
  </connection>
  <connection id="4" xr16:uid="{1E484D1C-7298-44D3-A268-2AE55DEA761B}" name="WorksheetConnection_database (1).xlsm!Tabla3" type="102" refreshedVersion="8" minRefreshableVersion="5">
    <extLst>
      <ext xmlns:x15="http://schemas.microsoft.com/office/spreadsheetml/2010/11/main" uri="{DE250136-89BD-433C-8126-D09CA5730AF9}">
        <x15:connection id="Tabla3">
          <x15:rangePr sourceName="_xlcn.WorksheetConnection_database1.xlsmTabla31"/>
        </x15:connection>
      </ext>
    </extLst>
  </connection>
</connections>
</file>

<file path=xl/sharedStrings.xml><?xml version="1.0" encoding="utf-8"?>
<sst xmlns="http://schemas.openxmlformats.org/spreadsheetml/2006/main" count="656" uniqueCount="29">
  <si>
    <t>Camisa</t>
  </si>
  <si>
    <t>Pantalón</t>
  </si>
  <si>
    <t>M</t>
  </si>
  <si>
    <t>C</t>
  </si>
  <si>
    <t>A</t>
  </si>
  <si>
    <t>S</t>
  </si>
  <si>
    <t>B</t>
  </si>
  <si>
    <t>L</t>
  </si>
  <si>
    <t xml:space="preserve">S </t>
  </si>
  <si>
    <t>Columna1</t>
  </si>
  <si>
    <t>Columna2</t>
  </si>
  <si>
    <t>Columna3</t>
  </si>
  <si>
    <t>Columna4</t>
  </si>
  <si>
    <t>Etiquetas de fila</t>
  </si>
  <si>
    <t>Total general</t>
  </si>
  <si>
    <t>Recuento de Columna2</t>
  </si>
  <si>
    <t>Columna5</t>
  </si>
  <si>
    <t>Columna6</t>
  </si>
  <si>
    <t>Columna7</t>
  </si>
  <si>
    <t>Suma de Columna5</t>
  </si>
  <si>
    <t>Etiquetas de columna</t>
  </si>
  <si>
    <t>TALLAS</t>
  </si>
  <si>
    <t>CANTIDAD</t>
  </si>
  <si>
    <t>ago</t>
  </si>
  <si>
    <t>Suma de Columna7</t>
  </si>
  <si>
    <t>Suma de Columna3</t>
  </si>
  <si>
    <t/>
  </si>
  <si>
    <t>Esteban</t>
  </si>
  <si>
    <t>1080690697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</si>
</sst>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(&quot;$&quot;* #,##0.00_);_(&quot;$&quot;* \(#,##0.00\);_(&quot;$&quot;* &quot;-&quot;??_);_(@_)"/>
    <numFmt numFmtId="164" formatCode="_-&quot;$&quot;\ * #,##0_-;\-&quot;$&quot;\ * #,##0_-;_-&quot;$&quot;\ * &quot;-&quot;??_-;_-@_-"/>
    <numFmt numFmtId="165" formatCode="&quot;$&quot;#,##0"/>
    <numFmt numFmtId="166" formatCode="_(&quot;$&quot;* #,##0_);_(&quot;$&quot;* \(#,##0\);_(&quot;$&quot;* &quot;-&quot;??_);_(@_)"/>
    <numFmt numFmtId="167" formatCode="\$\ #,##0;\-\$\ #,##0;\$\ #,##0"/>
    <numFmt numFmtId="168" formatCode="mm/dd/yyyy\ hh:mm"/>
    <numFmt numFmtId="169" formatCode="MM/dd/yyyy HH:mm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3F70E5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35">
    <xf numFmtId="0" fontId="0" fillId="0" borderId="0" xfId="0"/>
    <xf numFmtId="0" fontId="0" fillId="0" borderId="0" xfId="0" applyAlignment="1">
      <alignment horizontal="center" vertical="center"/>
    </xf>
    <xf numFmtId="1" fontId="0" fillId="0" borderId="0" xfId="0" applyNumberFormat="1"/>
    <xf numFmtId="164" fontId="0" fillId="0" borderId="0" xfId="1" applyNumberFormat="1" applyFont="1"/>
    <xf numFmtId="22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165" fontId="0" fillId="0" borderId="0" xfId="1" applyNumberFormat="1" applyFont="1" applyAlignment="1">
      <alignment horizontal="center" vertical="center"/>
    </xf>
    <xf numFmtId="165" fontId="0" fillId="0" borderId="0" xfId="1" applyNumberFormat="1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  <xf numFmtId="166" fontId="0" fillId="0" borderId="0" xfId="0" applyNumberFormat="1"/>
    <xf numFmtId="0" fontId="0" fillId="2" borderId="1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2" borderId="1" xfId="0" applyFont="1" applyFill="1" applyBorder="1" applyAlignment="1">
      <alignment horizontal="center"/>
    </xf>
    <xf numFmtId="0" fontId="0" fillId="0" borderId="1" xfId="0" applyFont="1" applyBorder="1" applyAlignment="1">
      <alignment horizontal="center"/>
    </xf>
    <xf numFmtId="167" fontId="0" fillId="0" borderId="0" xfId="0" applyNumberFormat="1"/>
    <xf numFmtId="166" fontId="3" fillId="0" borderId="0" xfId="1" applyNumberFormat="1" applyFont="1"/>
    <xf numFmtId="22" fontId="0" fillId="0" borderId="0" xfId="0" applyNumberFormat="1"/>
    <xf numFmtId="168" fontId="0" fillId="0" borderId="0" xfId="0" applyNumberFormat="1"/>
    <xf numFmtId="168" fontId="0" fillId="0" borderId="0" xfId="0" applyNumberFormat="1"/>
    <xf numFmtId="168" fontId="0" fillId="0" borderId="0" xfId="0" applyNumberFormat="1"/>
    <xf numFmtId="168" fontId="0" fillId="0" borderId="0" xfId="0" applyNumberFormat="1"/>
    <xf numFmtId="168" fontId="0" fillId="0" borderId="0" xfId="0" applyNumberFormat="1"/>
    <xf numFmtId="168" fontId="0" fillId="0" borderId="0" xfId="0" applyNumberFormat="1"/>
    <xf numFmtId="168" fontId="0" fillId="0" borderId="0" xfId="0" applyNumberFormat="1"/>
    <xf numFmtId="168" fontId="0" fillId="0" borderId="0" xfId="0" applyNumberFormat="1"/>
    <xf numFmtId="168" fontId="0" fillId="0" borderId="0" xfId="0" applyNumberFormat="1"/>
    <xf numFmtId="168" fontId="0" fillId="0" borderId="0" xfId="0" applyNumberFormat="1"/>
    <xf numFmtId="168" fontId="0" fillId="0" borderId="0" xfId="0" applyNumberFormat="1"/>
    <xf numFmtId="168" fontId="0" fillId="0" borderId="0" xfId="0" applyNumberFormat="1"/>
    <xf numFmtId="168" fontId="0" fillId="0" borderId="0" xfId="0" applyNumberFormat="1"/>
    <xf numFmtId="168" fontId="0" fillId="0" borderId="0" xfId="0" applyNumberFormat="1"/>
    <xf numFmtId="169" fontId="0" fillId="0" borderId="0" xfId="0" applyNumberFormat="true"/>
  </cellXfs>
  <cellStyles count="2">
    <cellStyle name="Moneda" xfId="1" builtinId="4"/>
    <cellStyle name="Normal" xfId="0" builtinId="0"/>
  </cellStyles>
  <dxfs count="19">
    <dxf>
      <numFmt numFmtId="166" formatCode="_(&quot;$&quot;* #,##0_);_(&quot;$&quot;* \(#,##0\);_(&quot;$&quot;* &quot;-&quot;??_);_(@_)"/>
    </dxf>
    <dxf>
      <numFmt numFmtId="166" formatCode="_(&quot;$&quot;* #,##0_);_(&quot;$&quot;* \(#,##0\);_(&quot;$&quot;* &quot;-&quot;??_);_(@_)"/>
    </dxf>
    <dxf>
      <numFmt numFmtId="166" formatCode="_(&quot;$&quot;* #,##0_);_(&quot;$&quot;* \(#,##0\);_(&quot;$&quot;* &quot;-&quot;??_);_(@_)"/>
    </dxf>
    <dxf>
      <numFmt numFmtId="166" formatCode="_(&quot;$&quot;* #,##0_);_(&quot;$&quot;* \(#,##0\);_(&quot;$&quot;* &quot;-&quot;??_);_(@_)"/>
    </dxf>
    <dxf>
      <numFmt numFmtId="166" formatCode="_(&quot;$&quot;* #,##0_);_(&quot;$&quot;* \(#,##0\);_(&quot;$&quot;* &quot;-&quot;??_);_(@_)"/>
    </dxf>
    <dxf>
      <numFmt numFmtId="166" formatCode="_(&quot;$&quot;* #,##0_);_(&quot;$&quot;* \(#,##0\);_(&quot;$&quot;* &quot;-&quot;??_);_(@_)"/>
    </dxf>
    <dxf>
      <numFmt numFmtId="166" formatCode="_(&quot;$&quot;* #,##0_);_(&quot;$&quot;* \(#,##0\);_(&quot;$&quot;* &quot;-&quot;??_);_(@_)"/>
    </dxf>
    <dxf>
      <numFmt numFmtId="166" formatCode="_(&quot;$&quot;* #,##0_);_(&quot;$&quot;* \(#,##0\);_(&quot;$&quot;* &quot;-&quot;??_);_(@_)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$&quot;#,##0"/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9" formatCode="d/mm/yyyy\ h:m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&quot;$&quot;\ * #,##0_-;\-&quot;$&quot;\ * #,##0_-;_-&quot;$&quot;\ * &quot;-&quot;??_-;_-@_-"/>
    </dxf>
    <dxf>
      <numFmt numFmtId="1" formatCode="0"/>
    </dxf>
    <dxf>
      <fill>
        <patternFill>
          <bgColor rgb="FF193A95"/>
        </patternFill>
      </fill>
    </dxf>
  </dxfs>
  <tableStyles count="2" defaultTableStyle="TableStyleMedium2" defaultPivotStyle="PivotStyleLight16">
    <tableStyle name="1" pivot="0" table="0" count="1" xr9:uid="{54F46679-C7B6-4599-8B23-294106215E63}">
      <tableStyleElement type="wholeTable" dxfId="18"/>
    </tableStyle>
    <tableStyle name="Invisible" pivot="0" table="0" count="0" xr9:uid="{09EF5F07-B2EF-4BE4-862D-133876C48197}"/>
  </tableStyles>
  <colors>
    <mruColors>
      <color rgb="FFF5F7FD"/>
      <color rgb="FF404040"/>
      <color rgb="FF3F70E5"/>
      <color rgb="FF193A95"/>
      <color rgb="FF7F8EE6"/>
    </mruColors>
  </colors>
  <extLst>
    <ext xmlns:x14="http://schemas.microsoft.com/office/spreadsheetml/2009/9/main" uri="{EB79DEF2-80B8-43e5-95BD-54CBDDF9020C}">
      <x14:slicerStyles defaultSlicerStyle="1">
        <x14:slicerStyle name="1"/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pivotCache/pivotCacheDefinition2.xml" Type="http://schemas.openxmlformats.org/officeDocument/2006/relationships/pivotCacheDefinition"/><Relationship Id="rId11" Target="pivotCache/pivotCacheDefinition3.xml" Type="http://schemas.openxmlformats.org/officeDocument/2006/relationships/pivotCacheDefinition"/><Relationship Id="rId12" Target="pivotCache/pivotCacheDefinition4.xml" Type="http://schemas.openxmlformats.org/officeDocument/2006/relationships/pivotCacheDefinition"/><Relationship Id="rId13" Target="pivotCache/pivotCacheDefinition5.xml" Type="http://schemas.openxmlformats.org/officeDocument/2006/relationships/pivotCacheDefinition"/><Relationship Id="rId14" Target="pivotCache/pivotCacheDefinition6.xml" Type="http://schemas.openxmlformats.org/officeDocument/2006/relationships/pivotCacheDefinition"/><Relationship Id="rId15" Target="pivotCache/pivotCacheDefinition7.xml" Type="http://schemas.openxmlformats.org/officeDocument/2006/relationships/pivotCacheDefinition"/><Relationship Id="rId16" Target="pivotCache/pivotCacheDefinition8.xml" Type="http://schemas.openxmlformats.org/officeDocument/2006/relationships/pivotCacheDefinition"/><Relationship Id="rId17" Target="slicerCaches/slicerCache1.xml" Type="http://schemas.microsoft.com/office/2007/relationships/slicerCache"/><Relationship Id="rId18" Target="slicerCaches/slicerCache2.xml" Type="http://schemas.microsoft.com/office/2007/relationships/slicerCache"/><Relationship Id="rId19" Target="slicerCaches/slicerCache3.xml" Type="http://schemas.microsoft.com/office/2007/relationships/slicerCache"/><Relationship Id="rId2" Target="worksheets/sheet2.xml" Type="http://schemas.openxmlformats.org/officeDocument/2006/relationships/worksheet"/><Relationship Id="rId20" Target="slicerCaches/slicerCache4.xml" Type="http://schemas.microsoft.com/office/2007/relationships/slicerCache"/><Relationship Id="rId21" Target="theme/theme1.xml" Type="http://schemas.openxmlformats.org/officeDocument/2006/relationships/theme"/><Relationship Id="rId22" Target="connections.xml" Type="http://schemas.openxmlformats.org/officeDocument/2006/relationships/connections"/><Relationship Id="rId23" Target="styles.xml" Type="http://schemas.openxmlformats.org/officeDocument/2006/relationships/styles"/><Relationship Id="rId24" Target="sharedStrings.xml" Type="http://schemas.openxmlformats.org/officeDocument/2006/relationships/sharedStrings"/><Relationship Id="rId25" Target="model/item.data" Type="http://schemas.openxmlformats.org/officeDocument/2006/relationships/powerPivotData"/><Relationship Id="rId26" Target="calcChain.xml" Type="http://schemas.openxmlformats.org/officeDocument/2006/relationships/calcChain"/><Relationship Id="rId27" Target="../customXml/item1.xml" Type="http://schemas.openxmlformats.org/officeDocument/2006/relationships/customXml"/><Relationship Id="rId28" Target="../customXml/item2.xml" Type="http://schemas.openxmlformats.org/officeDocument/2006/relationships/customXml"/><Relationship Id="rId29" Target="../customXml/item3.xml" Type="http://schemas.openxmlformats.org/officeDocument/2006/relationships/customXml"/><Relationship Id="rId3" Target="worksheets/sheet3.xml" Type="http://schemas.openxmlformats.org/officeDocument/2006/relationships/worksheet"/><Relationship Id="rId30" Target="../customXml/item4.xml" Type="http://schemas.openxmlformats.org/officeDocument/2006/relationships/customXml"/><Relationship Id="rId31" Target="../customXml/item5.xml" Type="http://schemas.openxmlformats.org/officeDocument/2006/relationships/customXml"/><Relationship Id="rId32" Target="../customXml/item6.xml" Type="http://schemas.openxmlformats.org/officeDocument/2006/relationships/customXml"/><Relationship Id="rId33" Target="../customXml/item7.xml" Type="http://schemas.openxmlformats.org/officeDocument/2006/relationships/customXml"/><Relationship Id="rId34" Target="../customXml/item8.xml" Type="http://schemas.openxmlformats.org/officeDocument/2006/relationships/customXml"/><Relationship Id="rId35" Target="../customXml/item9.xml" Type="http://schemas.openxmlformats.org/officeDocument/2006/relationships/customXml"/><Relationship Id="rId36" Target="../customXml/item10.xml" Type="http://schemas.openxmlformats.org/officeDocument/2006/relationships/customXml"/><Relationship Id="rId37" Target="../customXml/item11.xml" Type="http://schemas.openxmlformats.org/officeDocument/2006/relationships/customXml"/><Relationship Id="rId38" Target="../customXml/item12.xml" Type="http://schemas.openxmlformats.org/officeDocument/2006/relationships/customXml"/><Relationship Id="rId39" Target="../customXml/item13.xml" Type="http://schemas.openxmlformats.org/officeDocument/2006/relationships/customXml"/><Relationship Id="rId4" Target="worksheets/sheet4.xml" Type="http://schemas.openxmlformats.org/officeDocument/2006/relationships/worksheet"/><Relationship Id="rId40" Target="../customXml/item14.xml" Type="http://schemas.openxmlformats.org/officeDocument/2006/relationships/customXml"/><Relationship Id="rId41" Target="../customXml/item15.xml" Type="http://schemas.openxmlformats.org/officeDocument/2006/relationships/customXml"/><Relationship Id="rId42" Target="../customXml/item16.xml" Type="http://schemas.openxmlformats.org/officeDocument/2006/relationships/customXml"/><Relationship Id="rId43" Target="../customXml/item17.xml" Type="http://schemas.openxmlformats.org/officeDocument/2006/relationships/customXml"/><Relationship Id="rId44" Target="../customXml/item18.xml" Type="http://schemas.openxmlformats.org/officeDocument/2006/relationships/customXml"/><Relationship Id="rId45" Target="vbaProject.bin" Type="http://schemas.microsoft.com/office/2006/relationships/vbaProjec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worksheets/sheet8.xml" Type="http://schemas.openxmlformats.org/officeDocument/2006/relationships/worksheet"/><Relationship Id="rId9" Target="pivotCache/pivotCacheDefinition1.xml" Type="http://schemas.openxmlformats.org/officeDocument/2006/relationships/pivotCacheDefinition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[database.xlsm]Respuesta 1!TablaDinámica1</c:name>
    <c:fmtId val="3"/>
  </c:pivotSource>
  <c:chart>
    <c:autoTitleDeleted val="1"/>
    <c:pivotFmts>
      <c:pivotFmt>
        <c:idx val="0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193A95"/>
          </a:solidFill>
          <a:ln w="15875">
            <a:solidFill>
              <a:srgbClr val="404040"/>
            </a:solidFill>
          </a:ln>
          <a:effectLst/>
        </c:spPr>
      </c:pivotFmt>
      <c:pivotFmt>
        <c:idx val="4"/>
        <c:spPr>
          <a:solidFill>
            <a:srgbClr val="193A95"/>
          </a:solidFill>
          <a:ln w="19050">
            <a:solidFill>
              <a:srgbClr val="404040"/>
            </a:solidFill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'Respuesta 1'!$C$3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193A95"/>
              </a:solidFill>
              <a:ln w="15875">
                <a:solidFill>
                  <a:srgbClr val="40404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8D2-461B-AA0D-9D9AEB1F4421}"/>
              </c:ext>
            </c:extLst>
          </c:dPt>
          <c:cat>
            <c:strRef>
              <c:f>'Respuesta 1'!$B$4:$B$5</c:f>
              <c:strCache>
                <c:ptCount val="1"/>
                <c:pt idx="0">
                  <c:v>Camisa</c:v>
                </c:pt>
              </c:strCache>
            </c:strRef>
          </c:cat>
          <c:val>
            <c:numRef>
              <c:f>'Respuesta 1'!$C$4:$C$5</c:f>
              <c:numCache>
                <c:formatCode>General</c:formatCode>
                <c:ptCount val="1"/>
                <c:pt idx="0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D2-461B-AA0D-9D9AEB1F44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82633152"/>
        <c:axId val="1782632672"/>
      </c:barChart>
      <c:catAx>
        <c:axId val="1782633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2632672"/>
        <c:crosses val="autoZero"/>
        <c:auto val="1"/>
        <c:lblAlgn val="ctr"/>
        <c:lblOffset val="100"/>
        <c:noMultiLvlLbl val="0"/>
      </c:catAx>
      <c:valAx>
        <c:axId val="17826326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263315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1" i="0" u="none" strike="noStrike" kern="1200" baseline="0"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193A95"/>
            </a:solidFill>
            <a:ln w="22225">
              <a:solidFill>
                <a:srgbClr val="4040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'Respuesta2.1'!$B$9:$B$14</c:f>
              <c:strCache>
                <c:ptCount val="6"/>
                <c:pt idx="0">
                  <c:v>L</c:v>
                </c:pt>
                <c:pt idx="1">
                  <c:v>M</c:v>
                </c:pt>
                <c:pt idx="2">
                  <c:v>S</c:v>
                </c:pt>
                <c:pt idx="3">
                  <c:v>A</c:v>
                </c:pt>
                <c:pt idx="4">
                  <c:v>B</c:v>
                </c:pt>
                <c:pt idx="5">
                  <c:v>C</c:v>
                </c:pt>
              </c:strCache>
            </c:strRef>
          </c:cat>
          <c:val>
            <c:numRef>
              <c:f>'Respuesta2.1'!$C$9:$C$14</c:f>
              <c:numCache>
                <c:formatCode>General</c:formatCode>
                <c:ptCount val="6"/>
                <c:pt idx="0">
                  <c:v>17</c:v>
                </c:pt>
                <c:pt idx="1">
                  <c:v>22</c:v>
                </c:pt>
                <c:pt idx="2">
                  <c:v>14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D0-4F12-B3A0-938E5BF138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125707487"/>
        <c:axId val="1125706047"/>
      </c:barChart>
      <c:catAx>
        <c:axId val="11257074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/>
                  <a:t>Camisas</a:t>
                </a:r>
              </a:p>
            </c:rich>
          </c:tx>
          <c:layout>
            <c:manualLayout>
              <c:xMode val="edge"/>
              <c:yMode val="edge"/>
              <c:x val="0.28665652165819699"/>
              <c:y val="0.897198891805190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706047"/>
        <c:crosses val="autoZero"/>
        <c:auto val="1"/>
        <c:lblAlgn val="ctr"/>
        <c:lblOffset val="100"/>
        <c:noMultiLvlLbl val="0"/>
      </c:catAx>
      <c:valAx>
        <c:axId val="112570604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7074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[database.xlsm]Respuesta2.1!TablaDinámica27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193A95"/>
          </a:solidFill>
          <a:ln w="15875">
            <a:solidFill>
              <a:srgbClr val="404040"/>
            </a:solidFill>
          </a:ln>
          <a:effectLst>
            <a:outerShdw blurRad="50800" dist="50800" dir="5400000" sx="1000" sy="1000" algn="ctr" rotWithShape="0">
              <a:srgbClr val="000000"/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193A95"/>
          </a:solidFill>
          <a:ln w="15875">
            <a:solidFill>
              <a:srgbClr val="404040"/>
            </a:solidFill>
          </a:ln>
          <a:effectLst>
            <a:outerShdw blurRad="50800" dist="50800" dir="5400000" sx="1000" sy="1000" algn="ctr" rotWithShape="0">
              <a:srgbClr val="000000"/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193A95"/>
          </a:solidFill>
          <a:ln w="15875">
            <a:solidFill>
              <a:srgbClr val="404040"/>
            </a:solidFill>
          </a:ln>
          <a:effectLst>
            <a:outerShdw blurRad="50800" dist="50800" dir="5400000" sx="1000" sy="1000" algn="ctr" rotWithShape="0">
              <a:srgbClr val="000000"/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'Respuesta2.1'!$H$22</c:f>
              <c:strCache>
                <c:ptCount val="1"/>
                <c:pt idx="0">
                  <c:v>Suma de Columna5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'Respuesta2.1'!$G$23:$G$26</c:f>
              <c:multiLvlStrCache>
                <c:ptCount val="2"/>
                <c:lvl>
                  <c:pt idx="0">
                    <c:v>Camisa</c:v>
                  </c:pt>
                  <c:pt idx="1">
                    <c:v>Pantalón</c:v>
                  </c:pt>
                </c:lvl>
                <c:lvl>
                  <c:pt idx="0">
                    <c:v>ago</c:v>
                  </c:pt>
                </c:lvl>
              </c:multiLvlStrCache>
            </c:multiLvlStrRef>
          </c:cat>
          <c:val>
            <c:numRef>
              <c:f>'Respuesta2.1'!$H$23:$H$26</c:f>
              <c:numCache>
                <c:formatCode>General</c:formatCode>
                <c:ptCount val="2"/>
                <c:pt idx="0">
                  <c:v>3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AC-4E43-9464-EE49340CBA4E}"/>
            </c:ext>
          </c:extLst>
        </c:ser>
        <c:ser>
          <c:idx val="1"/>
          <c:order val="1"/>
          <c:tx>
            <c:strRef>
              <c:f>'Respuesta2.1'!$I$22</c:f>
              <c:strCache>
                <c:ptCount val="1"/>
                <c:pt idx="0">
                  <c:v>Suma de Columna7</c:v>
                </c:pt>
              </c:strCache>
            </c:strRef>
          </c:tx>
          <c:spPr>
            <a:solidFill>
              <a:srgbClr val="193A95"/>
            </a:solidFill>
            <a:ln w="15875">
              <a:solidFill>
                <a:srgbClr val="404040"/>
              </a:solidFill>
            </a:ln>
            <a:effectLst>
              <a:outerShdw blurRad="50800" dist="50800" dir="5400000" sx="1000" sy="1000" algn="ctr" rotWithShape="0">
                <a:srgbClr val="000000"/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'Respuesta2.1'!$G$23:$G$26</c:f>
              <c:multiLvlStrCache>
                <c:ptCount val="2"/>
                <c:lvl>
                  <c:pt idx="0">
                    <c:v>Camisa</c:v>
                  </c:pt>
                  <c:pt idx="1">
                    <c:v>Pantalón</c:v>
                  </c:pt>
                </c:lvl>
                <c:lvl>
                  <c:pt idx="0">
                    <c:v>ago</c:v>
                  </c:pt>
                </c:lvl>
              </c:multiLvlStrCache>
            </c:multiLvlStrRef>
          </c:cat>
          <c:val>
            <c:numRef>
              <c:f>'Respuesta2.1'!$I$23:$I$26</c:f>
              <c:numCache>
                <c:formatCode>_("$"* #,##0_);_("$"* \(#,##0\);_("$"* "-"??_);_(@_)</c:formatCode>
                <c:ptCount val="2"/>
                <c:pt idx="0">
                  <c:v>192059</c:v>
                </c:pt>
                <c:pt idx="1">
                  <c:v>220803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AC-4E43-9464-EE49340CBA4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318258655"/>
        <c:axId val="1318256735"/>
      </c:barChart>
      <c:catAx>
        <c:axId val="13182586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256735"/>
        <c:crosses val="autoZero"/>
        <c:auto val="1"/>
        <c:lblAlgn val="ctr"/>
        <c:lblOffset val="100"/>
        <c:noMultiLvlLbl val="0"/>
      </c:catAx>
      <c:valAx>
        <c:axId val="131825673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2586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[database.xlsm]Respuesta 2.2!TablaDinámica39</c:name>
    <c:fmtId val="4"/>
  </c:pivotSource>
  <c:chart>
    <c:autoTitleDeleted val="0"/>
    <c:pivotFmts>
      <c:pivotFmt>
        <c:idx val="0"/>
        <c:spPr>
          <a:solidFill>
            <a:srgbClr val="193A95"/>
          </a:solidFill>
          <a:ln w="19050">
            <a:solidFill>
              <a:srgbClr val="40404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3F70E5"/>
          </a:solidFill>
          <a:ln w="19050">
            <a:solidFill>
              <a:srgbClr val="404040"/>
            </a:solidFill>
          </a:ln>
          <a:effectLst/>
        </c:spPr>
        <c:dLbl>
          <c:idx val="0"/>
          <c:layout>
            <c:manualLayout>
              <c:x val="2.7777777777777776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F70E5"/>
          </a:solidFill>
          <a:ln w="19050">
            <a:solidFill>
              <a:srgbClr val="404040"/>
            </a:solidFill>
          </a:ln>
          <a:effectLst/>
        </c:spPr>
        <c:dLbl>
          <c:idx val="0"/>
          <c:layout>
            <c:manualLayout>
              <c:x val="2.5000000000000001E-2"/>
              <c:y val="-4.2437781360066642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193A95"/>
          </a:solidFill>
          <a:ln w="19050">
            <a:solidFill>
              <a:srgbClr val="40404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3F70E5"/>
          </a:solidFill>
          <a:ln w="19050">
            <a:solidFill>
              <a:srgbClr val="404040"/>
            </a:solidFill>
          </a:ln>
          <a:effectLst/>
        </c:spPr>
        <c:dLbl>
          <c:idx val="0"/>
          <c:layout>
            <c:manualLayout>
              <c:x val="2.7777777777777776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3F70E5"/>
          </a:solidFill>
          <a:ln w="19050">
            <a:solidFill>
              <a:srgbClr val="404040"/>
            </a:solidFill>
          </a:ln>
          <a:effectLst/>
        </c:spPr>
        <c:dLbl>
          <c:idx val="0"/>
          <c:layout>
            <c:manualLayout>
              <c:x val="2.5000000000000001E-2"/>
              <c:y val="-4.2437781360066642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193A95"/>
          </a:solidFill>
          <a:ln w="19050">
            <a:solidFill>
              <a:srgbClr val="40404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3F70E5"/>
          </a:solidFill>
          <a:ln w="19050">
            <a:solidFill>
              <a:srgbClr val="404040"/>
            </a:solidFill>
          </a:ln>
          <a:effectLst/>
        </c:spPr>
        <c:dLbl>
          <c:idx val="0"/>
          <c:layout>
            <c:manualLayout>
              <c:x val="2.7777777777777776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3F70E5"/>
          </a:solidFill>
          <a:ln w="19050">
            <a:solidFill>
              <a:srgbClr val="404040"/>
            </a:solidFill>
          </a:ln>
          <a:effectLst/>
        </c:spPr>
        <c:dLbl>
          <c:idx val="0"/>
          <c:layout>
            <c:manualLayout>
              <c:x val="2.5000000000000001E-2"/>
              <c:y val="-4.2437781360066642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'Respuesta 2.2'!$C$3:$C$4</c:f>
              <c:strCache>
                <c:ptCount val="1"/>
                <c:pt idx="0">
                  <c:v>Camisa</c:v>
                </c:pt>
              </c:strCache>
            </c:strRef>
          </c:tx>
          <c:spPr>
            <a:solidFill>
              <a:srgbClr val="193A95"/>
            </a:solidFill>
            <a:ln w="19050">
              <a:solidFill>
                <a:srgbClr val="4040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'Respuesta 2.2'!$B$5:$B$6</c:f>
              <c:strCache>
                <c:ptCount val="1"/>
                <c:pt idx="0">
                  <c:v>2</c:v>
                </c:pt>
              </c:strCache>
            </c:strRef>
          </c:cat>
          <c:val>
            <c:numRef>
              <c:f>'Respuesta 2.2'!$C$5:$C$6</c:f>
              <c:numCache>
                <c:formatCode>\$\ #,##0;\-\$\ #,##0;\$\ #,##0</c:formatCode>
                <c:ptCount val="1"/>
                <c:pt idx="0">
                  <c:v>1357861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61-440C-9D53-A9983D75932D}"/>
            </c:ext>
          </c:extLst>
        </c:ser>
        <c:ser>
          <c:idx val="1"/>
          <c:order val="1"/>
          <c:tx>
            <c:strRef>
              <c:f>'Respuesta 2.2'!$D$3:$D$4</c:f>
              <c:strCache>
                <c:ptCount val="1"/>
                <c:pt idx="0">
                  <c:v>Pantalón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3F70E5"/>
              </a:solidFill>
              <a:ln w="19050">
                <a:solidFill>
                  <a:srgbClr val="40404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8E61-440C-9D53-A9983D75932D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8E61-440C-9D53-A9983D75932D}"/>
              </c:ext>
            </c:extLst>
          </c:dPt>
          <c:dLbls>
            <c:dLbl>
              <c:idx val="0"/>
              <c:layout>
                <c:manualLayout>
                  <c:x val="2.5000000000000001E-2"/>
                  <c:y val="-4.2437781360066642E-1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E61-440C-9D53-A9983D75932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'Respuesta 2.2'!$B$5:$B$6</c:f>
              <c:strCache>
                <c:ptCount val="1"/>
                <c:pt idx="0">
                  <c:v>2</c:v>
                </c:pt>
              </c:strCache>
            </c:strRef>
          </c:cat>
          <c:val>
            <c:numRef>
              <c:f>'Respuesta 2.2'!$D$5:$D$6</c:f>
              <c:numCache>
                <c:formatCode>\$\ #,##0;\-\$\ #,##0;\$\ #,##0</c:formatCode>
                <c:ptCount val="1"/>
                <c:pt idx="0">
                  <c:v>1145029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E61-440C-9D53-A9983D75932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772375055"/>
        <c:axId val="1323029583"/>
      </c:barChart>
      <c:catAx>
        <c:axId val="7723750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3029583"/>
        <c:crosses val="autoZero"/>
        <c:auto val="1"/>
        <c:lblAlgn val="ctr"/>
        <c:lblOffset val="100"/>
        <c:noMultiLvlLbl val="0"/>
      </c:catAx>
      <c:valAx>
        <c:axId val="1323029583"/>
        <c:scaling>
          <c:orientation val="minMax"/>
        </c:scaling>
        <c:delete val="0"/>
        <c:axPos val="l"/>
        <c:numFmt formatCode="\$\ #,##0;\-\$\ #,##0;\$\ 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3750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[database.xlsm]Respuesta 1!TablaDinámica1</c:name>
    <c:fmtId val="1"/>
  </c:pivotSource>
  <c:chart>
    <c:autoTitleDeleted val="1"/>
    <c:pivotFmts>
      <c:pivotFmt>
        <c:idx val="0"/>
        <c:spPr>
          <a:solidFill>
            <a:srgbClr val="193A95"/>
          </a:solidFill>
          <a:ln w="19050">
            <a:solidFill>
              <a:srgbClr val="40404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'Respuesta 1'!$C$3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193A95"/>
            </a:solidFill>
            <a:ln w="19050">
              <a:solidFill>
                <a:srgbClr val="404040"/>
              </a:solidFill>
            </a:ln>
            <a:effectLst/>
          </c:spPr>
          <c:invertIfNegative val="0"/>
          <c:cat>
            <c:strRef>
              <c:f>'Respuesta 1'!$B$4:$B$5</c:f>
              <c:strCache>
                <c:ptCount val="1"/>
                <c:pt idx="0">
                  <c:v>Camisa</c:v>
                </c:pt>
              </c:strCache>
            </c:strRef>
          </c:cat>
          <c:val>
            <c:numRef>
              <c:f>'Respuesta 1'!$C$4:$C$5</c:f>
              <c:numCache>
                <c:formatCode>General</c:formatCode>
                <c:ptCount val="1"/>
                <c:pt idx="0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4F-45BB-8BD2-729CA6F747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82633152"/>
        <c:axId val="1782632672"/>
      </c:barChart>
      <c:catAx>
        <c:axId val="1782633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2632672"/>
        <c:crosses val="autoZero"/>
        <c:auto val="1"/>
        <c:lblAlgn val="ctr"/>
        <c:lblOffset val="100"/>
        <c:noMultiLvlLbl val="0"/>
      </c:catAx>
      <c:valAx>
        <c:axId val="17826326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263315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1" i="0" u="none" strike="noStrike" kern="1200" baseline="0"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'Respuesta2.1'!$B$9:$B$14</c:f>
              <c:strCache>
                <c:ptCount val="6"/>
                <c:pt idx="0">
                  <c:v>L</c:v>
                </c:pt>
                <c:pt idx="1">
                  <c:v>M</c:v>
                </c:pt>
                <c:pt idx="2">
                  <c:v>S</c:v>
                </c:pt>
                <c:pt idx="3">
                  <c:v>A</c:v>
                </c:pt>
                <c:pt idx="4">
                  <c:v>B</c:v>
                </c:pt>
                <c:pt idx="5">
                  <c:v>C</c:v>
                </c:pt>
              </c:strCache>
            </c:strRef>
          </c:cat>
          <c:val>
            <c:numRef>
              <c:f>'Respuesta2.1'!$C$9:$C$14</c:f>
              <c:numCache>
                <c:formatCode>General</c:formatCode>
                <c:ptCount val="6"/>
                <c:pt idx="0">
                  <c:v>17</c:v>
                </c:pt>
                <c:pt idx="1">
                  <c:v>22</c:v>
                </c:pt>
                <c:pt idx="2">
                  <c:v>14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17-4E8D-88B5-6E660A246B2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125707487"/>
        <c:axId val="1125706047"/>
      </c:barChart>
      <c:catAx>
        <c:axId val="11257074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/>
                  <a:t>Camisas</a:t>
                </a:r>
              </a:p>
            </c:rich>
          </c:tx>
          <c:layout>
            <c:manualLayout>
              <c:xMode val="edge"/>
              <c:yMode val="edge"/>
              <c:x val="0.28665652165819699"/>
              <c:y val="0.897198891805190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706047"/>
        <c:crosses val="autoZero"/>
        <c:auto val="1"/>
        <c:lblAlgn val="ctr"/>
        <c:lblOffset val="100"/>
        <c:noMultiLvlLbl val="0"/>
      </c:catAx>
      <c:valAx>
        <c:axId val="112570604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7074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[database.xlsm]Respuesta2.1!TablaDinámica27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193A95"/>
          </a:solidFill>
          <a:ln w="15875">
            <a:solidFill>
              <a:srgbClr val="404040"/>
            </a:solidFill>
          </a:ln>
          <a:effectLst>
            <a:outerShdw blurRad="50800" dist="50800" dir="5400000" sx="1000" sy="1000" algn="ctr" rotWithShape="0">
              <a:srgbClr val="000000"/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'Respuesta2.1'!$H$22</c:f>
              <c:strCache>
                <c:ptCount val="1"/>
                <c:pt idx="0">
                  <c:v>Suma de Columna5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'Respuesta2.1'!$G$23:$G$26</c:f>
              <c:multiLvlStrCache>
                <c:ptCount val="2"/>
                <c:lvl>
                  <c:pt idx="0">
                    <c:v>Camisa</c:v>
                  </c:pt>
                  <c:pt idx="1">
                    <c:v>Pantalón</c:v>
                  </c:pt>
                </c:lvl>
                <c:lvl>
                  <c:pt idx="0">
                    <c:v>ago</c:v>
                  </c:pt>
                </c:lvl>
              </c:multiLvlStrCache>
            </c:multiLvlStrRef>
          </c:cat>
          <c:val>
            <c:numRef>
              <c:f>'Respuesta2.1'!$H$23:$H$26</c:f>
              <c:numCache>
                <c:formatCode>General</c:formatCode>
                <c:ptCount val="2"/>
                <c:pt idx="0">
                  <c:v>3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3-45E5-91FC-5C64958425F5}"/>
            </c:ext>
          </c:extLst>
        </c:ser>
        <c:ser>
          <c:idx val="1"/>
          <c:order val="1"/>
          <c:tx>
            <c:strRef>
              <c:f>'Respuesta2.1'!$I$22</c:f>
              <c:strCache>
                <c:ptCount val="1"/>
                <c:pt idx="0">
                  <c:v>Suma de Columna7</c:v>
                </c:pt>
              </c:strCache>
            </c:strRef>
          </c:tx>
          <c:spPr>
            <a:solidFill>
              <a:srgbClr val="193A95"/>
            </a:solidFill>
            <a:ln w="15875">
              <a:solidFill>
                <a:srgbClr val="404040"/>
              </a:solidFill>
            </a:ln>
            <a:effectLst>
              <a:outerShdw blurRad="50800" dist="50800" dir="5400000" sx="1000" sy="1000" algn="ctr" rotWithShape="0">
                <a:srgbClr val="000000"/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'Respuesta2.1'!$G$23:$G$26</c:f>
              <c:multiLvlStrCache>
                <c:ptCount val="2"/>
                <c:lvl>
                  <c:pt idx="0">
                    <c:v>Camisa</c:v>
                  </c:pt>
                  <c:pt idx="1">
                    <c:v>Pantalón</c:v>
                  </c:pt>
                </c:lvl>
                <c:lvl>
                  <c:pt idx="0">
                    <c:v>ago</c:v>
                  </c:pt>
                </c:lvl>
              </c:multiLvlStrCache>
            </c:multiLvlStrRef>
          </c:cat>
          <c:val>
            <c:numRef>
              <c:f>'Respuesta2.1'!$I$23:$I$26</c:f>
              <c:numCache>
                <c:formatCode>_("$"* #,##0_);_("$"* \(#,##0\);_("$"* "-"??_);_(@_)</c:formatCode>
                <c:ptCount val="2"/>
                <c:pt idx="0">
                  <c:v>192059</c:v>
                </c:pt>
                <c:pt idx="1">
                  <c:v>220803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3-45E5-91FC-5C64958425F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318258655"/>
        <c:axId val="1318256735"/>
      </c:barChart>
      <c:catAx>
        <c:axId val="13182586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256735"/>
        <c:crosses val="autoZero"/>
        <c:auto val="1"/>
        <c:lblAlgn val="ctr"/>
        <c:lblOffset val="100"/>
        <c:noMultiLvlLbl val="0"/>
      </c:catAx>
      <c:valAx>
        <c:axId val="131825673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2586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[database.xlsm]Respuesta 2.2!TablaDinámica39</c:name>
    <c:fmtId val="0"/>
  </c:pivotSource>
  <c:chart>
    <c:autoTitleDeleted val="0"/>
    <c:pivotFmts>
      <c:pivotFmt>
        <c:idx val="0"/>
        <c:spPr>
          <a:solidFill>
            <a:srgbClr val="193A95"/>
          </a:solidFill>
          <a:ln w="19050">
            <a:solidFill>
              <a:srgbClr val="40404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3F70E5"/>
          </a:solidFill>
          <a:ln w="19050">
            <a:solidFill>
              <a:srgbClr val="404040"/>
            </a:solidFill>
          </a:ln>
          <a:effectLst/>
        </c:spPr>
        <c:dLbl>
          <c:idx val="0"/>
          <c:layout>
            <c:manualLayout>
              <c:x val="2.7777777777777776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F70E5"/>
          </a:solidFill>
          <a:ln w="19050">
            <a:solidFill>
              <a:srgbClr val="404040"/>
            </a:solidFill>
          </a:ln>
          <a:effectLst/>
        </c:spPr>
        <c:dLbl>
          <c:idx val="0"/>
          <c:layout>
            <c:manualLayout>
              <c:x val="2.5000000000000001E-2"/>
              <c:y val="-4.2437781360066642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'Respuesta 2.2'!$C$3:$C$4</c:f>
              <c:strCache>
                <c:ptCount val="1"/>
                <c:pt idx="0">
                  <c:v>Camisa</c:v>
                </c:pt>
              </c:strCache>
            </c:strRef>
          </c:tx>
          <c:spPr>
            <a:solidFill>
              <a:srgbClr val="193A95"/>
            </a:solidFill>
            <a:ln w="19050">
              <a:solidFill>
                <a:srgbClr val="4040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'Respuesta 2.2'!$B$5:$B$6</c:f>
              <c:strCache>
                <c:ptCount val="1"/>
                <c:pt idx="0">
                  <c:v>2</c:v>
                </c:pt>
              </c:strCache>
            </c:strRef>
          </c:cat>
          <c:val>
            <c:numRef>
              <c:f>'Respuesta 2.2'!$C$5:$C$6</c:f>
              <c:numCache>
                <c:formatCode>\$\ #,##0;\-\$\ #,##0;\$\ #,##0</c:formatCode>
                <c:ptCount val="1"/>
                <c:pt idx="0">
                  <c:v>1357861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34-4B75-A94C-3E806B8EFD00}"/>
            </c:ext>
          </c:extLst>
        </c:ser>
        <c:ser>
          <c:idx val="1"/>
          <c:order val="1"/>
          <c:tx>
            <c:strRef>
              <c:f>'Respuesta 2.2'!$D$3:$D$4</c:f>
              <c:strCache>
                <c:ptCount val="1"/>
                <c:pt idx="0">
                  <c:v>Pantalón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3F70E5"/>
              </a:solidFill>
              <a:ln w="19050">
                <a:solidFill>
                  <a:srgbClr val="40404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430-4814-93B4-3849682D08D5}"/>
              </c:ext>
            </c:extLst>
          </c:dPt>
          <c:dLbls>
            <c:dLbl>
              <c:idx val="0"/>
              <c:layout>
                <c:manualLayout>
                  <c:x val="2.5000000000000001E-2"/>
                  <c:y val="-4.2437781360066642E-1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430-4814-93B4-3849682D08D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'Respuesta 2.2'!$B$5:$B$6</c:f>
              <c:strCache>
                <c:ptCount val="1"/>
                <c:pt idx="0">
                  <c:v>2</c:v>
                </c:pt>
              </c:strCache>
            </c:strRef>
          </c:cat>
          <c:val>
            <c:numRef>
              <c:f>'Respuesta 2.2'!$D$5:$D$6</c:f>
              <c:numCache>
                <c:formatCode>\$\ #,##0;\-\$\ #,##0;\$\ #,##0</c:formatCode>
                <c:ptCount val="1"/>
                <c:pt idx="0">
                  <c:v>1145029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434-4B75-A94C-3E806B8EFD0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772375055"/>
        <c:axId val="1323029583"/>
      </c:barChart>
      <c:catAx>
        <c:axId val="7723750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3029583"/>
        <c:crosses val="autoZero"/>
        <c:auto val="1"/>
        <c:lblAlgn val="ctr"/>
        <c:lblOffset val="100"/>
        <c:noMultiLvlLbl val="0"/>
      </c:catAx>
      <c:valAx>
        <c:axId val="1323029583"/>
        <c:scaling>
          <c:orientation val="minMax"/>
        </c:scaling>
        <c:delete val="0"/>
        <c:axPos val="l"/>
        <c:numFmt formatCode="\$\ #,##0;\-\$\ #,##0;\$\ 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3750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no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Relationship Id="rId3" Target="../charts/chart3.xml" Type="http://schemas.openxmlformats.org/officeDocument/2006/relationships/chart"/><Relationship Id="rId4" Target="../charts/chart4.xml" Type="http://schemas.openxmlformats.org/officeDocument/2006/relationships/chart"/></Relationships>
</file>

<file path=xl/drawings/_rels/drawing2.xml.rels><?xml version="1.0" encoding="UTF-8" standalone="no"?><Relationships xmlns="http://schemas.openxmlformats.org/package/2006/relationships"><Relationship Id="rId1" Target="../charts/chart5.xml" Type="http://schemas.openxmlformats.org/officeDocument/2006/relationships/chart"/></Relationships>
</file>

<file path=xl/drawings/_rels/drawing3.xml.rels><?xml version="1.0" encoding="UTF-8" standalone="no"?><Relationships xmlns="http://schemas.openxmlformats.org/package/2006/relationships"><Relationship Id="rId1" Target="../charts/chart6.xml" Type="http://schemas.openxmlformats.org/officeDocument/2006/relationships/chart"/><Relationship Id="rId2" Target="../charts/chart7.xml" Type="http://schemas.openxmlformats.org/officeDocument/2006/relationships/chart"/></Relationships>
</file>

<file path=xl/drawings/_rels/drawing4.xml.rels><?xml version="1.0" encoding="UTF-8" standalone="no"?><Relationships xmlns="http://schemas.openxmlformats.org/package/2006/relationships"><Relationship Id="rId1" Target="../charts/chart8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0</xdr:rowOff>
    </xdr:from>
    <xdr:to>
      <xdr:col>16</xdr:col>
      <xdr:colOff>745614</xdr:colOff>
      <xdr:row>36</xdr:row>
      <xdr:rowOff>167640</xdr:rowOff>
    </xdr:to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5EFE9B67-491A-28E9-F025-542DE34C0C14}"/>
            </a:ext>
          </a:extLst>
        </xdr:cNvPr>
        <xdr:cNvSpPr/>
      </xdr:nvSpPr>
      <xdr:spPr>
        <a:xfrm>
          <a:off x="1" y="0"/>
          <a:ext cx="13462000" cy="6656930"/>
        </a:xfrm>
        <a:prstGeom prst="rect">
          <a:avLst/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52000">
              <a:schemeClr val="accent1">
                <a:lumMod val="30000"/>
                <a:lumOff val="70000"/>
              </a:schemeClr>
            </a:gs>
          </a:gsLst>
          <a:lin ang="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  <xdr:twoCellAnchor>
    <xdr:from>
      <xdr:col>14</xdr:col>
      <xdr:colOff>792478</xdr:colOff>
      <xdr:row>1</xdr:row>
      <xdr:rowOff>2985</xdr:rowOff>
    </xdr:from>
    <xdr:to>
      <xdr:col>16</xdr:col>
      <xdr:colOff>548967</xdr:colOff>
      <xdr:row>35</xdr:row>
      <xdr:rowOff>175260</xdr:rowOff>
    </xdr:to>
    <xdr:sp macro="" textlink="">
      <xdr:nvSpPr>
        <xdr:cNvPr id="3" name="Rectángulo: esquinas superiores redondeadas 2">
          <a:extLst>
            <a:ext uri="{FF2B5EF4-FFF2-40B4-BE49-F238E27FC236}">
              <a16:creationId xmlns:a16="http://schemas.microsoft.com/office/drawing/2014/main" id="{E5C5CB51-39C1-4310-9D51-98626DFBED64}"/>
            </a:ext>
          </a:extLst>
        </xdr:cNvPr>
        <xdr:cNvSpPr/>
      </xdr:nvSpPr>
      <xdr:spPr>
        <a:xfrm rot="5400000">
          <a:off x="9441811" y="2660749"/>
          <a:ext cx="6301049" cy="1346037"/>
        </a:xfrm>
        <a:prstGeom prst="round2SameRect">
          <a:avLst/>
        </a:prstGeom>
        <a:solidFill>
          <a:srgbClr val="F5F7F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  <xdr:twoCellAnchor>
    <xdr:from>
      <xdr:col>3</xdr:col>
      <xdr:colOff>0</xdr:colOff>
      <xdr:row>1</xdr:row>
      <xdr:rowOff>0</xdr:rowOff>
    </xdr:from>
    <xdr:to>
      <xdr:col>15</xdr:col>
      <xdr:colOff>0</xdr:colOff>
      <xdr:row>35</xdr:row>
      <xdr:rowOff>175260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482726E9-F218-E0B2-8669-1AA275B14A2E}"/>
            </a:ext>
          </a:extLst>
        </xdr:cNvPr>
        <xdr:cNvSpPr/>
      </xdr:nvSpPr>
      <xdr:spPr>
        <a:xfrm>
          <a:off x="2377440" y="182880"/>
          <a:ext cx="9509760" cy="6393180"/>
        </a:xfrm>
        <a:prstGeom prst="rect">
          <a:avLst/>
        </a:prstGeom>
        <a:solidFill>
          <a:srgbClr val="F5F7F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  <xdr:twoCellAnchor>
    <xdr:from>
      <xdr:col>8</xdr:col>
      <xdr:colOff>459740</xdr:colOff>
      <xdr:row>19</xdr:row>
      <xdr:rowOff>178538</xdr:rowOff>
    </xdr:from>
    <xdr:to>
      <xdr:col>13</xdr:col>
      <xdr:colOff>505460</xdr:colOff>
      <xdr:row>33</xdr:row>
      <xdr:rowOff>127820</xdr:rowOff>
    </xdr:to>
    <xdr:sp macro="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909A1C89-FAC1-2784-05DD-2E1EA2568239}"/>
            </a:ext>
          </a:extLst>
        </xdr:cNvPr>
        <xdr:cNvSpPr/>
      </xdr:nvSpPr>
      <xdr:spPr>
        <a:xfrm>
          <a:off x="6817934" y="3603441"/>
          <a:ext cx="4019591" cy="2472895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  <xdr:twoCellAnchor>
    <xdr:from>
      <xdr:col>3</xdr:col>
      <xdr:colOff>219668</xdr:colOff>
      <xdr:row>20</xdr:row>
      <xdr:rowOff>8195</xdr:rowOff>
    </xdr:from>
    <xdr:to>
      <xdr:col>8</xdr:col>
      <xdr:colOff>344128</xdr:colOff>
      <xdr:row>33</xdr:row>
      <xdr:rowOff>131098</xdr:rowOff>
    </xdr:to>
    <xdr:sp macro="" textlink="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6A2067B8-8351-4890-906B-B5E502C45BC5}"/>
            </a:ext>
          </a:extLst>
        </xdr:cNvPr>
        <xdr:cNvSpPr/>
      </xdr:nvSpPr>
      <xdr:spPr>
        <a:xfrm>
          <a:off x="2603991" y="3613356"/>
          <a:ext cx="4098331" cy="2466258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  <xdr:twoCellAnchor>
    <xdr:from>
      <xdr:col>3</xdr:col>
      <xdr:colOff>408449</xdr:colOff>
      <xdr:row>22</xdr:row>
      <xdr:rowOff>99059</xdr:rowOff>
    </xdr:from>
    <xdr:to>
      <xdr:col>7</xdr:col>
      <xdr:colOff>522749</xdr:colOff>
      <xdr:row>33</xdr:row>
      <xdr:rowOff>144780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23E6DB18-5C5B-4424-BEE9-CF3BC63A1C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691208</xdr:colOff>
      <xdr:row>21</xdr:row>
      <xdr:rowOff>55225</xdr:rowOff>
    </xdr:from>
    <xdr:to>
      <xdr:col>13</xdr:col>
      <xdr:colOff>363548</xdr:colOff>
      <xdr:row>32</xdr:row>
      <xdr:rowOff>39985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A04CBD4A-BF98-42EF-9367-ECB2090F10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434749</xdr:colOff>
      <xdr:row>20</xdr:row>
      <xdr:rowOff>164035</xdr:rowOff>
    </xdr:from>
    <xdr:to>
      <xdr:col>5</xdr:col>
      <xdr:colOff>43835</xdr:colOff>
      <xdr:row>22</xdr:row>
      <xdr:rowOff>64975</xdr:rowOff>
    </xdr:to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43924A6D-90A2-4FB4-BA6B-64E760DE1BEB}"/>
            </a:ext>
          </a:extLst>
        </xdr:cNvPr>
        <xdr:cNvSpPr txBox="1"/>
      </xdr:nvSpPr>
      <xdr:spPr>
        <a:xfrm>
          <a:off x="2819072" y="3769196"/>
          <a:ext cx="1198634" cy="26145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419" sz="1100" b="1" baseline="0">
              <a:solidFill>
                <a:srgbClr val="193A95"/>
              </a:solidFill>
              <a:latin typeface="Arial" panose="020B0604020202020204" pitchFamily="34" charset="0"/>
              <a:cs typeface="Arial" panose="020B0604020202020204" pitchFamily="34" charset="0"/>
            </a:rPr>
            <a:t>INVENTARIO </a:t>
          </a:r>
          <a:r>
            <a:rPr lang="es-419" sz="1200" b="1" baseline="0">
              <a:solidFill>
                <a:srgbClr val="193A95"/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  <a:endParaRPr lang="es-419" sz="1200" b="1">
            <a:solidFill>
              <a:srgbClr val="193A95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80871</xdr:colOff>
      <xdr:row>20</xdr:row>
      <xdr:rowOff>70301</xdr:rowOff>
    </xdr:from>
    <xdr:to>
      <xdr:col>12</xdr:col>
      <xdr:colOff>347571</xdr:colOff>
      <xdr:row>21</xdr:row>
      <xdr:rowOff>154121</xdr:rowOff>
    </xdr:to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E8E652E5-AB65-4CCC-B4CF-C13922D07167}"/>
            </a:ext>
          </a:extLst>
        </xdr:cNvPr>
        <xdr:cNvSpPr txBox="1"/>
      </xdr:nvSpPr>
      <xdr:spPr>
        <a:xfrm>
          <a:off x="7233839" y="3675462"/>
          <a:ext cx="2651022" cy="2640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419" sz="1100" b="1" baseline="0">
              <a:solidFill>
                <a:srgbClr val="193A95"/>
              </a:solidFill>
              <a:latin typeface="Arial" panose="020B0604020202020204" pitchFamily="34" charset="0"/>
              <a:cs typeface="Arial" panose="020B0604020202020204" pitchFamily="34" charset="0"/>
            </a:rPr>
            <a:t>CANTIDAD DE VENTAS POR TALLA </a:t>
          </a:r>
          <a:endParaRPr lang="es-419" sz="1200" b="1">
            <a:solidFill>
              <a:srgbClr val="193A95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254492</xdr:colOff>
      <xdr:row>1</xdr:row>
      <xdr:rowOff>172065</xdr:rowOff>
    </xdr:from>
    <xdr:to>
      <xdr:col>10</xdr:col>
      <xdr:colOff>172065</xdr:colOff>
      <xdr:row>19</xdr:row>
      <xdr:rowOff>32774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6E5262A9-502A-47D8-A5E2-AF919AED22AD}"/>
            </a:ext>
          </a:extLst>
        </xdr:cNvPr>
        <xdr:cNvSpPr/>
      </xdr:nvSpPr>
      <xdr:spPr>
        <a:xfrm>
          <a:off x="2638815" y="352323"/>
          <a:ext cx="5480992" cy="3105354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  <xdr:twoCellAnchor>
    <xdr:from>
      <xdr:col>3</xdr:col>
      <xdr:colOff>475880</xdr:colOff>
      <xdr:row>2</xdr:row>
      <xdr:rowOff>117905</xdr:rowOff>
    </xdr:from>
    <xdr:to>
      <xdr:col>7</xdr:col>
      <xdr:colOff>548967</xdr:colOff>
      <xdr:row>4</xdr:row>
      <xdr:rowOff>0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6F31A7F8-D7C3-47C5-AE84-59A3FE6E4C4A}"/>
            </a:ext>
          </a:extLst>
        </xdr:cNvPr>
        <xdr:cNvSpPr txBox="1"/>
      </xdr:nvSpPr>
      <xdr:spPr>
        <a:xfrm>
          <a:off x="2860203" y="478421"/>
          <a:ext cx="3252183" cy="2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419" sz="1100" b="1" baseline="0">
              <a:solidFill>
                <a:srgbClr val="193A95"/>
              </a:solidFill>
              <a:latin typeface="Arial" panose="020B0604020202020204" pitchFamily="34" charset="0"/>
              <a:cs typeface="Arial" panose="020B0604020202020204" pitchFamily="34" charset="0"/>
            </a:rPr>
            <a:t>ANALISIS DE CANTIDAD Y VENTA POR MES</a:t>
          </a:r>
          <a:endParaRPr lang="es-419" sz="1200" b="1">
            <a:solidFill>
              <a:srgbClr val="193A95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424180</xdr:colOff>
      <xdr:row>3</xdr:row>
      <xdr:rowOff>163872</xdr:rowOff>
    </xdr:from>
    <xdr:to>
      <xdr:col>4</xdr:col>
      <xdr:colOff>754134</xdr:colOff>
      <xdr:row>5</xdr:row>
      <xdr:rowOff>67434</xdr:rowOff>
    </xdr:to>
    <xdr:sp macro="" textlink="'Respuesta2.1'!J26">
      <xdr:nvSpPr>
        <xdr:cNvPr id="22" name="CuadroTexto 21">
          <a:extLst>
            <a:ext uri="{FF2B5EF4-FFF2-40B4-BE49-F238E27FC236}">
              <a16:creationId xmlns:a16="http://schemas.microsoft.com/office/drawing/2014/main" id="{63C1ACCF-5005-4E2A-AEC3-BF9F1590B4B8}"/>
            </a:ext>
          </a:extLst>
        </xdr:cNvPr>
        <xdr:cNvSpPr txBox="1"/>
      </xdr:nvSpPr>
      <xdr:spPr>
        <a:xfrm>
          <a:off x="2808503" y="704646"/>
          <a:ext cx="1124728" cy="2640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0D4F644B-74A2-4170-8154-A542B6075B97}" type="TxLink">
            <a:rPr lang="en-US" sz="1200" b="1" i="0" u="none" strike="noStrike">
              <a:solidFill>
                <a:srgbClr val="3F70E5"/>
              </a:solidFill>
              <a:latin typeface="Calibri"/>
              <a:cs typeface="Calibri"/>
            </a:rPr>
            <a:pPr/>
            <a:t> $412,862 </a:t>
          </a:fld>
          <a:endParaRPr lang="es-419" sz="1100" b="0">
            <a:solidFill>
              <a:srgbClr val="3F70E5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488334</xdr:colOff>
      <xdr:row>5</xdr:row>
      <xdr:rowOff>141176</xdr:rowOff>
    </xdr:from>
    <xdr:to>
      <xdr:col>9</xdr:col>
      <xdr:colOff>704645</xdr:colOff>
      <xdr:row>18</xdr:row>
      <xdr:rowOff>81934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BF485540-8052-4A3C-9D23-40411A5097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</xdr:colOff>
      <xdr:row>0</xdr:row>
      <xdr:rowOff>165164</xdr:rowOff>
    </xdr:from>
    <xdr:to>
      <xdr:col>3</xdr:col>
      <xdr:colOff>122904</xdr:colOff>
      <xdr:row>35</xdr:row>
      <xdr:rowOff>159449</xdr:rowOff>
    </xdr:to>
    <xdr:sp macro="" textlink="">
      <xdr:nvSpPr>
        <xdr:cNvPr id="2" name="Rectángulo: esquinas superiores redondeadas 1">
          <a:extLst>
            <a:ext uri="{FF2B5EF4-FFF2-40B4-BE49-F238E27FC236}">
              <a16:creationId xmlns:a16="http://schemas.microsoft.com/office/drawing/2014/main" id="{B3E622E8-4751-30BB-1F27-C2368578473C}"/>
            </a:ext>
          </a:extLst>
        </xdr:cNvPr>
        <xdr:cNvSpPr/>
      </xdr:nvSpPr>
      <xdr:spPr>
        <a:xfrm rot="16200000">
          <a:off x="-1898045" y="2063210"/>
          <a:ext cx="6303317" cy="2507226"/>
        </a:xfrm>
        <a:prstGeom prst="round2Same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  <xdr:twoCellAnchor editAs="oneCell">
    <xdr:from>
      <xdr:col>0</xdr:col>
      <xdr:colOff>131099</xdr:colOff>
      <xdr:row>6</xdr:row>
      <xdr:rowOff>73743</xdr:rowOff>
    </xdr:from>
    <xdr:to>
      <xdr:col>2</xdr:col>
      <xdr:colOff>786582</xdr:colOff>
      <xdr:row>11</xdr:row>
      <xdr:rowOff>155677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4" name="Columna1 (mes) 3">
              <a:extLst>
                <a:ext uri="{FF2B5EF4-FFF2-40B4-BE49-F238E27FC236}">
                  <a16:creationId xmlns:a16="http://schemas.microsoft.com/office/drawing/2014/main" id="{78800487-5FFB-4634-A136-D55B64BB14E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lumna1 (mes) 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1099" y="1155291"/>
              <a:ext cx="2245031" cy="9832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419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107253</xdr:colOff>
      <xdr:row>12</xdr:row>
      <xdr:rowOff>114136</xdr:rowOff>
    </xdr:from>
    <xdr:to>
      <xdr:col>2</xdr:col>
      <xdr:colOff>785433</xdr:colOff>
      <xdr:row>16</xdr:row>
      <xdr:rowOff>10079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Columna2 1">
              <a:extLst>
                <a:ext uri="{FF2B5EF4-FFF2-40B4-BE49-F238E27FC236}">
                  <a16:creationId xmlns:a16="http://schemas.microsoft.com/office/drawing/2014/main" id="{20A9D1D6-DC5B-427F-A076-FBD254ED579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lumna2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7253" y="2277233"/>
              <a:ext cx="2267728" cy="61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419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662940</xdr:colOff>
      <xdr:row>3</xdr:row>
      <xdr:rowOff>91440</xdr:rowOff>
    </xdr:from>
    <xdr:to>
      <xdr:col>2</xdr:col>
      <xdr:colOff>312420</xdr:colOff>
      <xdr:row>4</xdr:row>
      <xdr:rowOff>175260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0FAADF15-0D48-4546-A398-3A42C724B553}"/>
            </a:ext>
          </a:extLst>
        </xdr:cNvPr>
        <xdr:cNvSpPr txBox="1"/>
      </xdr:nvSpPr>
      <xdr:spPr>
        <a:xfrm>
          <a:off x="662940" y="640080"/>
          <a:ext cx="123444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419" sz="1100" b="0">
              <a:solidFill>
                <a:srgbClr val="3F70E5"/>
              </a:solidFill>
              <a:latin typeface="Arial" panose="020B0604020202020204" pitchFamily="34" charset="0"/>
              <a:cs typeface="Arial" panose="020B0604020202020204" pitchFamily="34" charset="0"/>
            </a:rPr>
            <a:t>TIENDA</a:t>
          </a:r>
          <a:r>
            <a:rPr lang="es-419" sz="1100" b="0" baseline="0">
              <a:solidFill>
                <a:srgbClr val="3F70E5"/>
              </a:solidFill>
              <a:latin typeface="Arial" panose="020B0604020202020204" pitchFamily="34" charset="0"/>
              <a:cs typeface="Arial" panose="020B0604020202020204" pitchFamily="34" charset="0"/>
            </a:rPr>
            <a:t> JUES</a:t>
          </a:r>
        </a:p>
        <a:p>
          <a:r>
            <a:rPr lang="es-419" sz="1100" b="0" baseline="0">
              <a:solidFill>
                <a:srgbClr val="3F70E5"/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  <a:endParaRPr lang="es-419" sz="1100" b="0">
            <a:solidFill>
              <a:srgbClr val="3F70E5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327660</xdr:colOff>
      <xdr:row>2</xdr:row>
      <xdr:rowOff>83820</xdr:rowOff>
    </xdr:from>
    <xdr:to>
      <xdr:col>2</xdr:col>
      <xdr:colOff>601980</xdr:colOff>
      <xdr:row>3</xdr:row>
      <xdr:rowOff>167640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BAEA00CA-DA86-8BEF-B040-744BFDECE777}"/>
            </a:ext>
          </a:extLst>
        </xdr:cNvPr>
        <xdr:cNvSpPr txBox="1"/>
      </xdr:nvSpPr>
      <xdr:spPr>
        <a:xfrm>
          <a:off x="327660" y="449580"/>
          <a:ext cx="185928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419" sz="1200" b="1">
              <a:solidFill>
                <a:srgbClr val="193A95"/>
              </a:solidFill>
              <a:latin typeface="Arial" panose="020B0604020202020204" pitchFamily="34" charset="0"/>
              <a:cs typeface="Arial" panose="020B0604020202020204" pitchFamily="34" charset="0"/>
            </a:rPr>
            <a:t>ANALISIS</a:t>
          </a:r>
          <a:r>
            <a:rPr lang="es-419" sz="1200" b="1" baseline="0">
              <a:solidFill>
                <a:srgbClr val="193A95"/>
              </a:solidFill>
              <a:latin typeface="Arial" panose="020B0604020202020204" pitchFamily="34" charset="0"/>
              <a:cs typeface="Arial" panose="020B0604020202020204" pitchFamily="34" charset="0"/>
            </a:rPr>
            <a:t> DE VENTAS </a:t>
          </a:r>
          <a:endParaRPr lang="es-419" sz="1200" b="1">
            <a:solidFill>
              <a:srgbClr val="193A95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102093</xdr:colOff>
      <xdr:row>16</xdr:row>
      <xdr:rowOff>164608</xdr:rowOff>
    </xdr:from>
    <xdr:to>
      <xdr:col>2</xdr:col>
      <xdr:colOff>786581</xdr:colOff>
      <xdr:row>20</xdr:row>
      <xdr:rowOff>65548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Columna1 1">
              <a:extLst>
                <a:ext uri="{FF2B5EF4-FFF2-40B4-BE49-F238E27FC236}">
                  <a16:creationId xmlns:a16="http://schemas.microsoft.com/office/drawing/2014/main" id="{733A2A30-A910-4449-A341-4622E6D679B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lumna1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2093" y="3048737"/>
              <a:ext cx="2274036" cy="62197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419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10</xdr:col>
      <xdr:colOff>434258</xdr:colOff>
      <xdr:row>2</xdr:row>
      <xdr:rowOff>155678</xdr:rowOff>
    </xdr:from>
    <xdr:to>
      <xdr:col>16</xdr:col>
      <xdr:colOff>401484</xdr:colOff>
      <xdr:row>19</xdr:row>
      <xdr:rowOff>57355</xdr:rowOff>
    </xdr:to>
    <xdr:sp macro="" textlink="">
      <xdr:nvSpPr>
        <xdr:cNvPr id="26" name="Rectángulo: esquinas redondeadas 25">
          <a:extLst>
            <a:ext uri="{FF2B5EF4-FFF2-40B4-BE49-F238E27FC236}">
              <a16:creationId xmlns:a16="http://schemas.microsoft.com/office/drawing/2014/main" id="{067B1EBD-C98D-3530-4971-C9234D8A862C}"/>
            </a:ext>
          </a:extLst>
        </xdr:cNvPr>
        <xdr:cNvSpPr/>
      </xdr:nvSpPr>
      <xdr:spPr>
        <a:xfrm>
          <a:off x="8382000" y="516194"/>
          <a:ext cx="4735871" cy="2966064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  <xdr:twoCellAnchor>
    <xdr:from>
      <xdr:col>10</xdr:col>
      <xdr:colOff>516193</xdr:colOff>
      <xdr:row>6</xdr:row>
      <xdr:rowOff>122904</xdr:rowOff>
    </xdr:from>
    <xdr:to>
      <xdr:col>16</xdr:col>
      <xdr:colOff>213032</xdr:colOff>
      <xdr:row>18</xdr:row>
      <xdr:rowOff>106516</xdr:rowOff>
    </xdr:to>
    <xdr:graphicFrame macro="">
      <xdr:nvGraphicFramePr>
        <xdr:cNvPr id="27" name="Gráfico 26">
          <a:extLst>
            <a:ext uri="{FF2B5EF4-FFF2-40B4-BE49-F238E27FC236}">
              <a16:creationId xmlns:a16="http://schemas.microsoft.com/office/drawing/2014/main" id="{38365E77-8FDE-4648-BF3F-AC9DB9348B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106516</xdr:colOff>
      <xdr:row>21</xdr:row>
      <xdr:rowOff>16387</xdr:rowOff>
    </xdr:from>
    <xdr:to>
      <xdr:col>2</xdr:col>
      <xdr:colOff>778388</xdr:colOff>
      <xdr:row>24</xdr:row>
      <xdr:rowOff>122903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8" name="Columna6 1">
              <a:extLst>
                <a:ext uri="{FF2B5EF4-FFF2-40B4-BE49-F238E27FC236}">
                  <a16:creationId xmlns:a16="http://schemas.microsoft.com/office/drawing/2014/main" id="{C61EEA30-A4BF-4002-BEF3-06769F72DF0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lumna6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6516" y="3801806"/>
              <a:ext cx="2261420" cy="64729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419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10</xdr:col>
      <xdr:colOff>628281</xdr:colOff>
      <xdr:row>3</xdr:row>
      <xdr:rowOff>114627</xdr:rowOff>
    </xdr:from>
    <xdr:to>
      <xdr:col>12</xdr:col>
      <xdr:colOff>401484</xdr:colOff>
      <xdr:row>5</xdr:row>
      <xdr:rowOff>16387</xdr:rowOff>
    </xdr:to>
    <xdr:sp macro="" textlink="">
      <xdr:nvSpPr>
        <xdr:cNvPr id="29" name="CuadroTexto 28">
          <a:extLst>
            <a:ext uri="{FF2B5EF4-FFF2-40B4-BE49-F238E27FC236}">
              <a16:creationId xmlns:a16="http://schemas.microsoft.com/office/drawing/2014/main" id="{AA0C37AA-3E9D-420B-95F8-DDD8332A8B44}"/>
            </a:ext>
          </a:extLst>
        </xdr:cNvPr>
        <xdr:cNvSpPr txBox="1"/>
      </xdr:nvSpPr>
      <xdr:spPr>
        <a:xfrm>
          <a:off x="8207313" y="698417"/>
          <a:ext cx="1289010" cy="29095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419" sz="1100" b="1" baseline="0">
              <a:solidFill>
                <a:srgbClr val="193A95"/>
              </a:solidFill>
              <a:latin typeface="Arial" panose="020B0604020202020204" pitchFamily="34" charset="0"/>
              <a:cs typeface="Arial" panose="020B0604020202020204" pitchFamily="34" charset="0"/>
            </a:rPr>
            <a:t>TOTAL DE CAJA </a:t>
          </a:r>
          <a:endParaRPr lang="es-419" sz="1200" b="1">
            <a:solidFill>
              <a:srgbClr val="193A95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10</xdr:col>
      <xdr:colOff>633935</xdr:colOff>
      <xdr:row>4</xdr:row>
      <xdr:rowOff>136014</xdr:rowOff>
    </xdr:from>
    <xdr:to>
      <xdr:col>12</xdr:col>
      <xdr:colOff>169115</xdr:colOff>
      <xdr:row>6</xdr:row>
      <xdr:rowOff>39576</xdr:rowOff>
    </xdr:to>
    <xdr:sp macro="" textlink="'Respuesta 2.2'!F6">
      <xdr:nvSpPr>
        <xdr:cNvPr id="30" name="CuadroTexto 29">
          <a:extLst>
            <a:ext uri="{FF2B5EF4-FFF2-40B4-BE49-F238E27FC236}">
              <a16:creationId xmlns:a16="http://schemas.microsoft.com/office/drawing/2014/main" id="{162D4E70-8A22-493A-8A5B-E59405EBADD8}"/>
            </a:ext>
          </a:extLst>
        </xdr:cNvPr>
        <xdr:cNvSpPr txBox="1"/>
      </xdr:nvSpPr>
      <xdr:spPr>
        <a:xfrm>
          <a:off x="8581677" y="857046"/>
          <a:ext cx="1124728" cy="2640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D705ACC5-C62C-47E5-BD2A-B104B3214415}" type="TxLink">
            <a:rPr lang="en-US" sz="1200" b="1" i="0" u="none" strike="noStrike">
              <a:solidFill>
                <a:srgbClr val="3F70E5"/>
              </a:solidFill>
              <a:latin typeface="Calibri"/>
              <a:cs typeface="Calibri"/>
            </a:rPr>
            <a:pPr/>
            <a:t> $2,502,890 </a:t>
          </a:fld>
          <a:endParaRPr lang="es-419" sz="1100" b="0">
            <a:solidFill>
              <a:srgbClr val="3F70E5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662940</xdr:colOff>
      <xdr:row>6</xdr:row>
      <xdr:rowOff>179070</xdr:rowOff>
    </xdr:from>
    <xdr:to>
      <xdr:col>10</xdr:col>
      <xdr:colOff>480060</xdr:colOff>
      <xdr:row>21</xdr:row>
      <xdr:rowOff>179070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ADA0301-1E81-53AC-1A39-B06C2FF4C1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693420</xdr:colOff>
      <xdr:row>6</xdr:row>
      <xdr:rowOff>60961</xdr:rowOff>
    </xdr:from>
    <xdr:to>
      <xdr:col>3</xdr:col>
      <xdr:colOff>472440</xdr:colOff>
      <xdr:row>11</xdr:row>
      <xdr:rowOff>68581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Columna1">
              <a:extLst>
                <a:ext uri="{FF2B5EF4-FFF2-40B4-BE49-F238E27FC236}">
                  <a16:creationId xmlns:a16="http://schemas.microsoft.com/office/drawing/2014/main" id="{867BFD27-3931-E670-9DE1-3E2A0ED4F57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lumna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85900" y="1158240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419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739140</xdr:colOff>
      <xdr:row>3</xdr:row>
      <xdr:rowOff>175261</xdr:rowOff>
    </xdr:from>
    <xdr:to>
      <xdr:col>7</xdr:col>
      <xdr:colOff>365760</xdr:colOff>
      <xdr:row>8</xdr:row>
      <xdr:rowOff>167641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Columna2">
              <a:extLst>
                <a:ext uri="{FF2B5EF4-FFF2-40B4-BE49-F238E27FC236}">
                  <a16:creationId xmlns:a16="http://schemas.microsoft.com/office/drawing/2014/main" id="{A43EB6D8-7E1C-9F32-BDD6-F7733BE927C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lumna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084320" y="723901"/>
              <a:ext cx="2598420" cy="90678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419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7</xdr:col>
      <xdr:colOff>365760</xdr:colOff>
      <xdr:row>4</xdr:row>
      <xdr:rowOff>41910</xdr:rowOff>
    </xdr:from>
    <xdr:to>
      <xdr:col>12</xdr:col>
      <xdr:colOff>701040</xdr:colOff>
      <xdr:row>19</xdr:row>
      <xdr:rowOff>41910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DB54497E-2365-7A0D-8B77-6EBBC04F84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777240</xdr:colOff>
      <xdr:row>17</xdr:row>
      <xdr:rowOff>106680</xdr:rowOff>
    </xdr:from>
    <xdr:to>
      <xdr:col>12</xdr:col>
      <xdr:colOff>38100</xdr:colOff>
      <xdr:row>18</xdr:row>
      <xdr:rowOff>144780</xdr:rowOff>
    </xdr:to>
    <xdr:sp macro="" textlink="">
      <xdr:nvSpPr>
        <xdr:cNvPr id="10" name="Rectángulo 9">
          <a:extLst>
            <a:ext uri="{FF2B5EF4-FFF2-40B4-BE49-F238E27FC236}">
              <a16:creationId xmlns:a16="http://schemas.microsoft.com/office/drawing/2014/main" id="{0B8743A2-6E59-9A27-08B1-BC3F0453A965}"/>
            </a:ext>
          </a:extLst>
        </xdr:cNvPr>
        <xdr:cNvSpPr/>
      </xdr:nvSpPr>
      <xdr:spPr>
        <a:xfrm>
          <a:off x="9128760" y="3215640"/>
          <a:ext cx="845820" cy="22098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419" sz="1100">
              <a:solidFill>
                <a:sysClr val="windowText" lastClr="000000"/>
              </a:solidFill>
            </a:rPr>
            <a:t>Pantalones</a:t>
          </a:r>
          <a:r>
            <a:rPr lang="es-419" sz="1100" baseline="0"/>
            <a:t> </a:t>
          </a:r>
          <a:endParaRPr lang="es-419" sz="1100"/>
        </a:p>
      </xdr:txBody>
    </xdr:sp>
    <xdr:clientData/>
  </xdr:twoCellAnchor>
  <xdr:twoCellAnchor editAs="oneCell">
    <xdr:from>
      <xdr:col>1</xdr:col>
      <xdr:colOff>495300</xdr:colOff>
      <xdr:row>26</xdr:row>
      <xdr:rowOff>99060</xdr:rowOff>
    </xdr:from>
    <xdr:to>
      <xdr:col>2</xdr:col>
      <xdr:colOff>1188720</xdr:colOff>
      <xdr:row>40</xdr:row>
      <xdr:rowOff>5715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Columna1 (mes)">
              <a:extLst>
                <a:ext uri="{FF2B5EF4-FFF2-40B4-BE49-F238E27FC236}">
                  <a16:creationId xmlns:a16="http://schemas.microsoft.com/office/drawing/2014/main" id="{BB20A1C5-4DF8-06CF-7475-0F187C4A845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lumna1 (mes)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87780" y="4869180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419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5</xdr:col>
      <xdr:colOff>746760</xdr:colOff>
      <xdr:row>28</xdr:row>
      <xdr:rowOff>156210</xdr:rowOff>
    </xdr:from>
    <xdr:to>
      <xdr:col>11</xdr:col>
      <xdr:colOff>190500</xdr:colOff>
      <xdr:row>43</xdr:row>
      <xdr:rowOff>156210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F91E2F7E-F89A-DDAB-7066-97B5FB5CA2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403860</xdr:colOff>
      <xdr:row>9</xdr:row>
      <xdr:rowOff>19050</xdr:rowOff>
    </xdr:from>
    <xdr:to>
      <xdr:col>9</xdr:col>
      <xdr:colOff>266700</xdr:colOff>
      <xdr:row>24</xdr:row>
      <xdr:rowOff>19050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1CABDD8-4395-0663-94D4-CA9308427C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518160</xdr:colOff>
      <xdr:row>13</xdr:row>
      <xdr:rowOff>114301</xdr:rowOff>
    </xdr:from>
    <xdr:to>
      <xdr:col>2</xdr:col>
      <xdr:colOff>358140</xdr:colOff>
      <xdr:row>19</xdr:row>
      <xdr:rowOff>68581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Columna6">
              <a:extLst>
                <a:ext uri="{FF2B5EF4-FFF2-40B4-BE49-F238E27FC236}">
                  <a16:creationId xmlns:a16="http://schemas.microsoft.com/office/drawing/2014/main" id="{ACDAE1CF-64CF-3C41-244E-046E49B3775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lumna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18160" y="2506981"/>
              <a:ext cx="1828800" cy="10515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419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cer" refreshedDate="45232.439344560182" createdVersion="5" refreshedVersion="8" minRefreshableVersion="3" recordCount="0" supportSubquery="1" supportAdvancedDrill="1" xr:uid="{5CD5A77F-1C4A-48EF-8E8C-D9E24DC90F13}">
  <cacheSource type="external" connectionId="1"/>
  <cacheFields count="3">
    <cacheField name="[Tabla1].[Columna1].[Columna1]" caption="Columna1" numFmtId="0" level="1">
      <sharedItems count="2">
        <s v="Camisa"/>
        <s v="Pantalón" u="1"/>
      </sharedItems>
    </cacheField>
    <cacheField name="[Measures].[Recuento de Columna2]" caption="Recuento de Columna2" numFmtId="0" hierarchy="18" level="32767"/>
    <cacheField name="[Tabla1].[Columna2].[Columna2]" caption="Columna2" numFmtId="0" hierarchy="1" level="1">
      <sharedItems containsSemiMixedTypes="0" containsNonDate="0" containsString="0"/>
    </cacheField>
  </cacheFields>
  <cacheHierarchies count="36">
    <cacheHierarchy uniqueName="[Tabla1].[Columna1]" caption="Columna1" attribute="1" defaultMemberUniqueName="[Tabla1].[Columna1].[All]" allUniqueName="[Tabla1].[Columna1].[All]" dimensionUniqueName="[Tabla1]" displayFolder="" count="2" memberValueDatatype="130" unbalanced="0">
      <fieldsUsage count="2">
        <fieldUsage x="-1"/>
        <fieldUsage x="0"/>
      </fieldsUsage>
    </cacheHierarchy>
    <cacheHierarchy uniqueName="[Tabla1].[Columna2]" caption="Columna2" attribute="1" defaultMemberUniqueName="[Tabla1].[Columna2].[All]" allUniqueName="[Tabla1].[Columna2].[All]" dimensionUniqueName="[Tabla1]" displayFolder="" count="2" memberValueDatatype="130" unbalanced="0">
      <fieldsUsage count="2">
        <fieldUsage x="-1"/>
        <fieldUsage x="2"/>
      </fieldsUsage>
    </cacheHierarchy>
    <cacheHierarchy uniqueName="[Tabla1].[Columna3]" caption="Columna3" attribute="1" defaultMemberUniqueName="[Tabla1].[Columna3].[All]" allUniqueName="[Tabla1].[Columna3].[All]" dimensionUniqueName="[Tabla1]" displayFolder="" count="0" memberValueDatatype="20" unbalanced="0"/>
    <cacheHierarchy uniqueName="[Tabla1].[Columna4]" caption="Columna4" attribute="1" defaultMemberUniqueName="[Tabla1].[Columna4].[All]" allUniqueName="[Tabla1].[Columna4].[All]" dimensionUniqueName="[Tabla1]" displayFolder="" count="0" memberValueDatatype="20" unbalanced="0"/>
    <cacheHierarchy uniqueName="[Tabla2].[Columna1]" caption="Columna1" attribute="1" time="1" defaultMemberUniqueName="[Tabla2].[Columna1].[All]" allUniqueName="[Tabla2].[Columna1].[All]" dimensionUniqueName="[Tabla2]" displayFolder="" count="0" memberValueDatatype="7" unbalanced="0"/>
    <cacheHierarchy uniqueName="[Tabla2].[Columna2]" caption="Columna2" attribute="1" defaultMemberUniqueName="[Tabla2].[Columna2].[All]" allUniqueName="[Tabla2].[Columna2].[All]" dimensionUniqueName="[Tabla2]" displayFolder="" count="0" memberValueDatatype="130" unbalanced="0"/>
    <cacheHierarchy uniqueName="[Tabla2].[Columna3]" caption="Columna3" attribute="1" defaultMemberUniqueName="[Tabla2].[Columna3].[All]" allUniqueName="[Tabla2].[Columna3].[All]" dimensionUniqueName="[Tabla2]" displayFolder="" count="0" memberValueDatatype="20" unbalanced="0"/>
    <cacheHierarchy uniqueName="[Tabla2].[Columna4]" caption="Columna4" attribute="1" defaultMemberUniqueName="[Tabla2].[Columna4].[All]" allUniqueName="[Tabla2].[Columna4].[All]" dimensionUniqueName="[Tabla2]" displayFolder="" count="0" memberValueDatatype="130" unbalanced="0"/>
    <cacheHierarchy uniqueName="[Tabla2].[Columna5]" caption="Columna5" attribute="1" defaultMemberUniqueName="[Tabla2].[Columna5].[All]" allUniqueName="[Tabla2].[Columna5].[All]" dimensionUniqueName="[Tabla2]" displayFolder="" count="0" memberValueDatatype="20" unbalanced="0"/>
    <cacheHierarchy uniqueName="[Tabla2].[Columna6]" caption="Columna6" attribute="1" defaultMemberUniqueName="[Tabla2].[Columna6].[All]" allUniqueName="[Tabla2].[Columna6].[All]" dimensionUniqueName="[Tabla2]" displayFolder="" count="0" memberValueDatatype="20" unbalanced="0"/>
    <cacheHierarchy uniqueName="[Tabla2].[Columna7]" caption="Columna7" attribute="1" defaultMemberUniqueName="[Tabla2].[Columna7].[All]" allUniqueName="[Tabla2].[Columna7].[All]" dimensionUniqueName="[Tabla2]" displayFolder="" count="0" memberValueDatatype="20" unbalanced="0"/>
    <cacheHierarchy uniqueName="[Tabla2].[Columna1 (mes)]" caption="Columna1 (mes)" attribute="1" defaultMemberUniqueName="[Tabla2].[Columna1 (mes)].[All]" allUniqueName="[Tabla2].[Columna1 (mes)].[All]" dimensionUniqueName="[Tabla2]" displayFolder="" count="0" memberValueDatatype="130" unbalanced="0"/>
    <cacheHierarchy uniqueName="[Tabla3].[Columna1]" caption="Columna1" attribute="1" defaultMemberUniqueName="[Tabla3].[Columna1].[All]" allUniqueName="[Tabla3].[Columna1].[All]" dimensionUniqueName="[Tabla3]" displayFolder="" count="0" memberValueDatatype="130" unbalanced="0"/>
    <cacheHierarchy uniqueName="[Tabla3].[Columna2]" caption="Columna2" attribute="1" defaultMemberUniqueName="[Tabla3].[Columna2].[All]" allUniqueName="[Tabla3].[Columna2].[All]" dimensionUniqueName="[Tabla3]" displayFolder="" count="0" memberValueDatatype="130" unbalanced="0"/>
    <cacheHierarchy uniqueName="[Tabla3].[Columna3]" caption="Columna3" attribute="1" defaultMemberUniqueName="[Tabla3].[Columna3].[All]" allUniqueName="[Tabla3].[Columna3].[All]" dimensionUniqueName="[Tabla3]" displayFolder="" count="0" memberValueDatatype="130" unbalanced="0"/>
    <cacheHierarchy uniqueName="[Tabla3].[Columna4]" caption="Columna4" attribute="1" defaultMemberUniqueName="[Tabla3].[Columna4].[All]" allUniqueName="[Tabla3].[Columna4].[All]" dimensionUniqueName="[Tabla3]" displayFolder="" count="0" memberValueDatatype="130" unbalanced="0"/>
    <cacheHierarchy uniqueName="[Tabla3].[Columna5]" caption="Columna5" attribute="1" defaultMemberUniqueName="[Tabla3].[Columna5].[All]" allUniqueName="[Tabla3].[Columna5].[All]" dimensionUniqueName="[Tabla3]" displayFolder="" count="0" memberValueDatatype="130" unbalanced="0"/>
    <cacheHierarchy uniqueName="[Tabla2].[Columna1 (índice de meses)]" caption="Columna1 (índice de meses)" attribute="1" defaultMemberUniqueName="[Tabla2].[Columna1 (índice de meses)].[All]" allUniqueName="[Tabla2].[Columna1 (índice de meses)].[All]" dimensionUniqueName="[Tabla2]" displayFolder="" count="0" memberValueDatatype="20" unbalanced="0" hidden="1"/>
    <cacheHierarchy uniqueName="[Measures].[Recuento de Columna2]" caption="Recuento de Columna2" measure="1" displayFolder="" measureGroup="Tabla1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Columna3]" caption="Suma de Columna3" measure="1" displayFolder="" measureGroup="Tabla2" count="0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a de Columna5]" caption="Suma de Columna5" measure="1" displayFolder="" measureGroup="Tabla2" count="0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Recuento de Columna2 2]" caption="Recuento de Columna2 2" measure="1" displayFolder="" measureGroup="Tabla2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Recuento de Columna4]" caption="Recuento de Columna4" measure="1" displayFolder="" measureGroup="Tabla2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Columna4]" caption="Suma de Columna4" measure="1" displayFolder="" measureGroup="Tabla1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Columna6]" caption="Suma de Columna6" measure="1" displayFolder="" measureGroup="Tabla2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Recuento de Columna4 2]" caption="Recuento de Columna4 2" measure="1" displayFolder="" measureGroup="Tabla3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Recuento de Columna5]" caption="Recuento de Columna5" measure="1" displayFolder="" measureGroup="Tabla3" count="0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Recuento de Columna3]" caption="Recuento de Columna3" measure="1" displayFolder="" measureGroup="Tabla3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Recuento de Columna2 3]" caption="Recuento de Columna2 3" measure="1" displayFolder="" measureGroup="Tabla3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Recuento de Columna1]" caption="Recuento de Columna1" measure="1" displayFolder="" measureGroup="Tabla3" count="0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a de Columna7]" caption="Suma de Columna7" measure="1" displayFolder="" measureGroup="Tabla2" count="0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Recuento de Columna1 2]" caption="Recuento de Columna1 2" measure="1" displayFolder="" measureGroup="Tabla2" count="0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__XL_Count Tabla1]" caption="__XL_Count Tabla1" measure="1" displayFolder="" measureGroup="Tabla1" count="0" hidden="1"/>
    <cacheHierarchy uniqueName="[Measures].[__XL_Count Tabla2]" caption="__XL_Count Tabla2" measure="1" displayFolder="" measureGroup="Tabla2" count="0" hidden="1"/>
    <cacheHierarchy uniqueName="[Measures].[__XL_Count Tabla3]" caption="__XL_Count Tabla3" measure="1" displayFolder="" measureGroup="Tabla3" count="0" hidden="1"/>
    <cacheHierarchy uniqueName="[Measures].[__No hay medidas definidas]" caption="__No hay medidas definidas" measure="1" displayFolder="" count="0" hidden="1"/>
  </cacheHierarchies>
  <kpis count="0"/>
  <dimensions count="4">
    <dimension measure="1" name="Measures" uniqueName="[Measures]" caption="Measures"/>
    <dimension name="Tabla1" uniqueName="[Tabla1]" caption="Tabla1"/>
    <dimension name="Tabla2" uniqueName="[Tabla2]" caption="Tabla2"/>
    <dimension name="Tabla3" uniqueName="[Tabla3]" caption="Tabla3"/>
  </dimensions>
  <measureGroups count="3">
    <measureGroup name="Tabla1" caption="Tabla1"/>
    <measureGroup name="Tabla2" caption="Tabla2"/>
    <measureGroup name="Tabla3" caption="Tabla3"/>
  </measureGroups>
  <maps count="3">
    <map measureGroup="0" dimension="1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cer" refreshedDate="45232.439348611108" createdVersion="5" refreshedVersion="8" minRefreshableVersion="3" recordCount="0" supportSubquery="1" supportAdvancedDrill="1" xr:uid="{5C931B15-C676-4BE1-A2C6-751B989CDF80}">
  <cacheSource type="external" connectionId="1"/>
  <cacheFields count="3">
    <cacheField name="[Tabla3].[Columna2].[Columna2]" caption="Columna2" numFmtId="0" hierarchy="13" level="1">
      <sharedItems containsSemiMixedTypes="0" containsNonDate="0" containsString="0"/>
    </cacheField>
    <cacheField name="[Tabla3].[Columna1].[Columna1]" caption="Columna1" numFmtId="0" hierarchy="12" level="1">
      <sharedItems count="3">
        <s v="L"/>
        <s v="M"/>
        <s v="S"/>
      </sharedItems>
    </cacheField>
    <cacheField name="[Measures].[Recuento de Columna2 3]" caption="Recuento de Columna2 3" numFmtId="0" hierarchy="28" level="32767"/>
  </cacheFields>
  <cacheHierarchies count="36">
    <cacheHierarchy uniqueName="[Tabla1].[Columna1]" caption="Columna1" attribute="1" defaultMemberUniqueName="[Tabla1].[Columna1].[All]" allUniqueName="[Tabla1].[Columna1].[All]" dimensionUniqueName="[Tabla1]" displayFolder="" count="0" memberValueDatatype="130" unbalanced="0"/>
    <cacheHierarchy uniqueName="[Tabla1].[Columna2]" caption="Columna2" attribute="1" defaultMemberUniqueName="[Tabla1].[Columna2].[All]" allUniqueName="[Tabla1].[Columna2].[All]" dimensionUniqueName="[Tabla1]" displayFolder="" count="0" memberValueDatatype="130" unbalanced="0"/>
    <cacheHierarchy uniqueName="[Tabla1].[Columna3]" caption="Columna3" attribute="1" defaultMemberUniqueName="[Tabla1].[Columna3].[All]" allUniqueName="[Tabla1].[Columna3].[All]" dimensionUniqueName="[Tabla1]" displayFolder="" count="0" memberValueDatatype="20" unbalanced="0"/>
    <cacheHierarchy uniqueName="[Tabla1].[Columna4]" caption="Columna4" attribute="1" defaultMemberUniqueName="[Tabla1].[Columna4].[All]" allUniqueName="[Tabla1].[Columna4].[All]" dimensionUniqueName="[Tabla1]" displayFolder="" count="0" memberValueDatatype="20" unbalanced="0"/>
    <cacheHierarchy uniqueName="[Tabla2].[Columna1]" caption="Columna1" attribute="1" time="1" defaultMemberUniqueName="[Tabla2].[Columna1].[All]" allUniqueName="[Tabla2].[Columna1].[All]" dimensionUniqueName="[Tabla2]" displayFolder="" count="0" memberValueDatatype="7" unbalanced="0"/>
    <cacheHierarchy uniqueName="[Tabla2].[Columna2]" caption="Columna2" attribute="1" defaultMemberUniqueName="[Tabla2].[Columna2].[All]" allUniqueName="[Tabla2].[Columna2].[All]" dimensionUniqueName="[Tabla2]" displayFolder="" count="0" memberValueDatatype="130" unbalanced="0"/>
    <cacheHierarchy uniqueName="[Tabla2].[Columna3]" caption="Columna3" attribute="1" defaultMemberUniqueName="[Tabla2].[Columna3].[All]" allUniqueName="[Tabla2].[Columna3].[All]" dimensionUniqueName="[Tabla2]" displayFolder="" count="0" memberValueDatatype="20" unbalanced="0"/>
    <cacheHierarchy uniqueName="[Tabla2].[Columna4]" caption="Columna4" attribute="1" defaultMemberUniqueName="[Tabla2].[Columna4].[All]" allUniqueName="[Tabla2].[Columna4].[All]" dimensionUniqueName="[Tabla2]" displayFolder="" count="0" memberValueDatatype="130" unbalanced="0"/>
    <cacheHierarchy uniqueName="[Tabla2].[Columna5]" caption="Columna5" attribute="1" defaultMemberUniqueName="[Tabla2].[Columna5].[All]" allUniqueName="[Tabla2].[Columna5].[All]" dimensionUniqueName="[Tabla2]" displayFolder="" count="0" memberValueDatatype="20" unbalanced="0"/>
    <cacheHierarchy uniqueName="[Tabla2].[Columna6]" caption="Columna6" attribute="1" defaultMemberUniqueName="[Tabla2].[Columna6].[All]" allUniqueName="[Tabla2].[Columna6].[All]" dimensionUniqueName="[Tabla2]" displayFolder="" count="0" memberValueDatatype="20" unbalanced="0"/>
    <cacheHierarchy uniqueName="[Tabla2].[Columna7]" caption="Columna7" attribute="1" defaultMemberUniqueName="[Tabla2].[Columna7].[All]" allUniqueName="[Tabla2].[Columna7].[All]" dimensionUniqueName="[Tabla2]" displayFolder="" count="0" memberValueDatatype="20" unbalanced="0"/>
    <cacheHierarchy uniqueName="[Tabla2].[Columna1 (mes)]" caption="Columna1 (mes)" attribute="1" defaultMemberUniqueName="[Tabla2].[Columna1 (mes)].[All]" allUniqueName="[Tabla2].[Columna1 (mes)].[All]" dimensionUniqueName="[Tabla2]" displayFolder="" count="0" memberValueDatatype="130" unbalanced="0"/>
    <cacheHierarchy uniqueName="[Tabla3].[Columna1]" caption="Columna1" attribute="1" defaultMemberUniqueName="[Tabla3].[Columna1].[All]" allUniqueName="[Tabla3].[Columna1].[All]" dimensionUniqueName="[Tabla3]" displayFolder="" count="2" memberValueDatatype="130" unbalanced="0">
      <fieldsUsage count="2">
        <fieldUsage x="-1"/>
        <fieldUsage x="1"/>
      </fieldsUsage>
    </cacheHierarchy>
    <cacheHierarchy uniqueName="[Tabla3].[Columna2]" caption="Columna2" attribute="1" defaultMemberUniqueName="[Tabla3].[Columna2].[All]" allUniqueName="[Tabla3].[Columna2].[All]" dimensionUniqueName="[Tabla3]" displayFolder="" count="2" memberValueDatatype="130" unbalanced="0">
      <fieldsUsage count="2">
        <fieldUsage x="-1"/>
        <fieldUsage x="0"/>
      </fieldsUsage>
    </cacheHierarchy>
    <cacheHierarchy uniqueName="[Tabla3].[Columna3]" caption="Columna3" attribute="1" defaultMemberUniqueName="[Tabla3].[Columna3].[All]" allUniqueName="[Tabla3].[Columna3].[All]" dimensionUniqueName="[Tabla3]" displayFolder="" count="0" memberValueDatatype="130" unbalanced="0"/>
    <cacheHierarchy uniqueName="[Tabla3].[Columna4]" caption="Columna4" attribute="1" defaultMemberUniqueName="[Tabla3].[Columna4].[All]" allUniqueName="[Tabla3].[Columna4].[All]" dimensionUniqueName="[Tabla3]" displayFolder="" count="0" memberValueDatatype="130" unbalanced="0"/>
    <cacheHierarchy uniqueName="[Tabla3].[Columna5]" caption="Columna5" attribute="1" defaultMemberUniqueName="[Tabla3].[Columna5].[All]" allUniqueName="[Tabla3].[Columna5].[All]" dimensionUniqueName="[Tabla3]" displayFolder="" count="0" memberValueDatatype="130" unbalanced="0"/>
    <cacheHierarchy uniqueName="[Tabla2].[Columna1 (índice de meses)]" caption="Columna1 (índice de meses)" attribute="1" defaultMemberUniqueName="[Tabla2].[Columna1 (índice de meses)].[All]" allUniqueName="[Tabla2].[Columna1 (índice de meses)].[All]" dimensionUniqueName="[Tabla2]" displayFolder="" count="0" memberValueDatatype="20" unbalanced="0" hidden="1"/>
    <cacheHierarchy uniqueName="[Measures].[Recuento de Columna2]" caption="Recuento de Columna2" measure="1" displayFolder="" measureGroup="Tabla1" count="0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Columna3]" caption="Suma de Columna3" measure="1" displayFolder="" measureGroup="Tabla2" count="0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a de Columna5]" caption="Suma de Columna5" measure="1" displayFolder="" measureGroup="Tabla2" count="0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Recuento de Columna2 2]" caption="Recuento de Columna2 2" measure="1" displayFolder="" measureGroup="Tabla2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Recuento de Columna4]" caption="Recuento de Columna4" measure="1" displayFolder="" measureGroup="Tabla2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Columna4]" caption="Suma de Columna4" measure="1" displayFolder="" measureGroup="Tabla1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Columna6]" caption="Suma de Columna6" measure="1" displayFolder="" measureGroup="Tabla2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Recuento de Columna4 2]" caption="Recuento de Columna4 2" measure="1" displayFolder="" measureGroup="Tabla3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Recuento de Columna5]" caption="Recuento de Columna5" measure="1" displayFolder="" measureGroup="Tabla3" count="0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Recuento de Columna3]" caption="Recuento de Columna3" measure="1" displayFolder="" measureGroup="Tabla3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Recuento de Columna2 3]" caption="Recuento de Columna2 3" measure="1" displayFolder="" measureGroup="Tabla3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Recuento de Columna1]" caption="Recuento de Columna1" measure="1" displayFolder="" measureGroup="Tabla3" count="0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a de Columna7]" caption="Suma de Columna7" measure="1" displayFolder="" measureGroup="Tabla2" count="0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Recuento de Columna1 2]" caption="Recuento de Columna1 2" measure="1" displayFolder="" measureGroup="Tabla2" count="0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__XL_Count Tabla1]" caption="__XL_Count Tabla1" measure="1" displayFolder="" measureGroup="Tabla1" count="0" hidden="1"/>
    <cacheHierarchy uniqueName="[Measures].[__XL_Count Tabla2]" caption="__XL_Count Tabla2" measure="1" displayFolder="" measureGroup="Tabla2" count="0" hidden="1"/>
    <cacheHierarchy uniqueName="[Measures].[__XL_Count Tabla3]" caption="__XL_Count Tabla3" measure="1" displayFolder="" measureGroup="Tabla3" count="0" hidden="1"/>
    <cacheHierarchy uniqueName="[Measures].[__No hay medidas definidas]" caption="__No hay medidas definidas" measure="1" displayFolder="" count="0" hidden="1"/>
  </cacheHierarchies>
  <kpis count="0"/>
  <dimensions count="4">
    <dimension measure="1" name="Measures" uniqueName="[Measures]" caption="Measures"/>
    <dimension name="Tabla1" uniqueName="[Tabla1]" caption="Tabla1"/>
    <dimension name="Tabla2" uniqueName="[Tabla2]" caption="Tabla2"/>
    <dimension name="Tabla3" uniqueName="[Tabla3]" caption="Tabla3"/>
  </dimensions>
  <measureGroups count="3">
    <measureGroup name="Tabla1" caption="Tabla1"/>
    <measureGroup name="Tabla2" caption="Tabla2"/>
    <measureGroup name="Tabla3" caption="Tabla3"/>
  </measureGroups>
  <maps count="3">
    <map measureGroup="0" dimension="1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cer" refreshedDate="45232.439352199071" createdVersion="5" refreshedVersion="8" minRefreshableVersion="3" recordCount="0" supportSubquery="1" supportAdvancedDrill="1" xr:uid="{51EFBDB8-D5A4-4B6B-BF78-09B1A930C3D7}">
  <cacheSource type="external" connectionId="1"/>
  <cacheFields count="4">
    <cacheField name="[Tabla2].[Columna1 (mes)].[Columna1 (mes)]" caption="Columna1 (mes)" numFmtId="0" hierarchy="11" level="1">
      <sharedItems count="4">
        <s v="ago"/>
        <s v="nov" u="1"/>
        <s v="oct" u="1"/>
        <s v="sept" u="1"/>
      </sharedItems>
    </cacheField>
    <cacheField name="[Measures].[Suma de Columna5]" caption="Suma de Columna5" numFmtId="0" hierarchy="20" level="32767"/>
    <cacheField name="[Tabla2].[Columna2].[Columna2]" caption="Columna2" numFmtId="0" hierarchy="5" level="1">
      <sharedItems count="2">
        <s v="Camisa"/>
        <s v="Pantalón"/>
      </sharedItems>
    </cacheField>
    <cacheField name="[Measures].[Suma de Columna7]" caption="Suma de Columna7" numFmtId="0" hierarchy="30" level="32767"/>
  </cacheFields>
  <cacheHierarchies count="36">
    <cacheHierarchy uniqueName="[Tabla1].[Columna1]" caption="Columna1" attribute="1" defaultMemberUniqueName="[Tabla1].[Columna1].[All]" allUniqueName="[Tabla1].[Columna1].[All]" dimensionUniqueName="[Tabla1]" displayFolder="" count="0" memberValueDatatype="130" unbalanced="0"/>
    <cacheHierarchy uniqueName="[Tabla1].[Columna2]" caption="Columna2" attribute="1" defaultMemberUniqueName="[Tabla1].[Columna2].[All]" allUniqueName="[Tabla1].[Columna2].[All]" dimensionUniqueName="[Tabla1]" displayFolder="" count="0" memberValueDatatype="130" unbalanced="0"/>
    <cacheHierarchy uniqueName="[Tabla1].[Columna3]" caption="Columna3" attribute="1" defaultMemberUniqueName="[Tabla1].[Columna3].[All]" allUniqueName="[Tabla1].[Columna3].[All]" dimensionUniqueName="[Tabla1]" displayFolder="" count="0" memberValueDatatype="20" unbalanced="0"/>
    <cacheHierarchy uniqueName="[Tabla1].[Columna4]" caption="Columna4" attribute="1" defaultMemberUniqueName="[Tabla1].[Columna4].[All]" allUniqueName="[Tabla1].[Columna4].[All]" dimensionUniqueName="[Tabla1]" displayFolder="" count="0" memberValueDatatype="20" unbalanced="0"/>
    <cacheHierarchy uniqueName="[Tabla2].[Columna1]" caption="Columna1" attribute="1" time="1" defaultMemberUniqueName="[Tabla2].[Columna1].[All]" allUniqueName="[Tabla2].[Columna1].[All]" dimensionUniqueName="[Tabla2]" displayFolder="" count="0" memberValueDatatype="7" unbalanced="0"/>
    <cacheHierarchy uniqueName="[Tabla2].[Columna2]" caption="Columna2" attribute="1" defaultMemberUniqueName="[Tabla2].[Columna2].[All]" allUniqueName="[Tabla2].[Columna2].[All]" dimensionUniqueName="[Tabla2]" displayFolder="" count="2" memberValueDatatype="130" unbalanced="0">
      <fieldsUsage count="2">
        <fieldUsage x="-1"/>
        <fieldUsage x="2"/>
      </fieldsUsage>
    </cacheHierarchy>
    <cacheHierarchy uniqueName="[Tabla2].[Columna3]" caption="Columna3" attribute="1" defaultMemberUniqueName="[Tabla2].[Columna3].[All]" allUniqueName="[Tabla2].[Columna3].[All]" dimensionUniqueName="[Tabla2]" displayFolder="" count="0" memberValueDatatype="20" unbalanced="0"/>
    <cacheHierarchy uniqueName="[Tabla2].[Columna4]" caption="Columna4" attribute="1" defaultMemberUniqueName="[Tabla2].[Columna4].[All]" allUniqueName="[Tabla2].[Columna4].[All]" dimensionUniqueName="[Tabla2]" displayFolder="" count="0" memberValueDatatype="130" unbalanced="0"/>
    <cacheHierarchy uniqueName="[Tabla2].[Columna5]" caption="Columna5" attribute="1" defaultMemberUniqueName="[Tabla2].[Columna5].[All]" allUniqueName="[Tabla2].[Columna5].[All]" dimensionUniqueName="[Tabla2]" displayFolder="" count="0" memberValueDatatype="20" unbalanced="0"/>
    <cacheHierarchy uniqueName="[Tabla2].[Columna6]" caption="Columna6" attribute="1" defaultMemberUniqueName="[Tabla2].[Columna6].[All]" allUniqueName="[Tabla2].[Columna6].[All]" dimensionUniqueName="[Tabla2]" displayFolder="" count="0" memberValueDatatype="20" unbalanced="0"/>
    <cacheHierarchy uniqueName="[Tabla2].[Columna7]" caption="Columna7" attribute="1" defaultMemberUniqueName="[Tabla2].[Columna7].[All]" allUniqueName="[Tabla2].[Columna7].[All]" dimensionUniqueName="[Tabla2]" displayFolder="" count="0" memberValueDatatype="20" unbalanced="0"/>
    <cacheHierarchy uniqueName="[Tabla2].[Columna1 (mes)]" caption="Columna1 (mes)" attribute="1" defaultMemberUniqueName="[Tabla2].[Columna1 (mes)].[All]" allUniqueName="[Tabla2].[Columna1 (mes)].[All]" dimensionUniqueName="[Tabla2]" displayFolder="" count="2" memberValueDatatype="130" unbalanced="0">
      <fieldsUsage count="2">
        <fieldUsage x="-1"/>
        <fieldUsage x="0"/>
      </fieldsUsage>
    </cacheHierarchy>
    <cacheHierarchy uniqueName="[Tabla3].[Columna1]" caption="Columna1" attribute="1" defaultMemberUniqueName="[Tabla3].[Columna1].[All]" allUniqueName="[Tabla3].[Columna1].[All]" dimensionUniqueName="[Tabla3]" displayFolder="" count="0" memberValueDatatype="130" unbalanced="0"/>
    <cacheHierarchy uniqueName="[Tabla3].[Columna2]" caption="Columna2" attribute="1" defaultMemberUniqueName="[Tabla3].[Columna2].[All]" allUniqueName="[Tabla3].[Columna2].[All]" dimensionUniqueName="[Tabla3]" displayFolder="" count="0" memberValueDatatype="130" unbalanced="0"/>
    <cacheHierarchy uniqueName="[Tabla3].[Columna3]" caption="Columna3" attribute="1" defaultMemberUniqueName="[Tabla3].[Columna3].[All]" allUniqueName="[Tabla3].[Columna3].[All]" dimensionUniqueName="[Tabla3]" displayFolder="" count="0" memberValueDatatype="130" unbalanced="0"/>
    <cacheHierarchy uniqueName="[Tabla3].[Columna4]" caption="Columna4" attribute="1" defaultMemberUniqueName="[Tabla3].[Columna4].[All]" allUniqueName="[Tabla3].[Columna4].[All]" dimensionUniqueName="[Tabla3]" displayFolder="" count="0" memberValueDatatype="130" unbalanced="0"/>
    <cacheHierarchy uniqueName="[Tabla3].[Columna5]" caption="Columna5" attribute="1" defaultMemberUniqueName="[Tabla3].[Columna5].[All]" allUniqueName="[Tabla3].[Columna5].[All]" dimensionUniqueName="[Tabla3]" displayFolder="" count="0" memberValueDatatype="130" unbalanced="0"/>
    <cacheHierarchy uniqueName="[Tabla2].[Columna1 (índice de meses)]" caption="Columna1 (índice de meses)" attribute="1" defaultMemberUniqueName="[Tabla2].[Columna1 (índice de meses)].[All]" allUniqueName="[Tabla2].[Columna1 (índice de meses)].[All]" dimensionUniqueName="[Tabla2]" displayFolder="" count="0" memberValueDatatype="20" unbalanced="0" hidden="1"/>
    <cacheHierarchy uniqueName="[Measures].[Recuento de Columna2]" caption="Recuento de Columna2" measure="1" displayFolder="" measureGroup="Tabla1" count="0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Columna3]" caption="Suma de Columna3" measure="1" displayFolder="" measureGroup="Tabla2" count="0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a de Columna5]" caption="Suma de Columna5" measure="1" displayFolder="" measureGroup="Tabla2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Recuento de Columna2 2]" caption="Recuento de Columna2 2" measure="1" displayFolder="" measureGroup="Tabla2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Recuento de Columna4]" caption="Recuento de Columna4" measure="1" displayFolder="" measureGroup="Tabla2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Columna4]" caption="Suma de Columna4" measure="1" displayFolder="" measureGroup="Tabla1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Columna6]" caption="Suma de Columna6" measure="1" displayFolder="" measureGroup="Tabla2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Recuento de Columna4 2]" caption="Recuento de Columna4 2" measure="1" displayFolder="" measureGroup="Tabla3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Recuento de Columna5]" caption="Recuento de Columna5" measure="1" displayFolder="" measureGroup="Tabla3" count="0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Recuento de Columna3]" caption="Recuento de Columna3" measure="1" displayFolder="" measureGroup="Tabla3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Recuento de Columna2 3]" caption="Recuento de Columna2 3" measure="1" displayFolder="" measureGroup="Tabla3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Recuento de Columna1]" caption="Recuento de Columna1" measure="1" displayFolder="" measureGroup="Tabla3" count="0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a de Columna7]" caption="Suma de Columna7" measure="1" displayFolder="" measureGroup="Tabla2" count="0" oneField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Recuento de Columna1 2]" caption="Recuento de Columna1 2" measure="1" displayFolder="" measureGroup="Tabla2" count="0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__XL_Count Tabla1]" caption="__XL_Count Tabla1" measure="1" displayFolder="" measureGroup="Tabla1" count="0" hidden="1"/>
    <cacheHierarchy uniqueName="[Measures].[__XL_Count Tabla2]" caption="__XL_Count Tabla2" measure="1" displayFolder="" measureGroup="Tabla2" count="0" hidden="1"/>
    <cacheHierarchy uniqueName="[Measures].[__XL_Count Tabla3]" caption="__XL_Count Tabla3" measure="1" displayFolder="" measureGroup="Tabla3" count="0" hidden="1"/>
    <cacheHierarchy uniqueName="[Measures].[__No hay medidas definidas]" caption="__No hay medidas definidas" measure="1" displayFolder="" count="0" hidden="1"/>
  </cacheHierarchies>
  <kpis count="0"/>
  <dimensions count="4">
    <dimension measure="1" name="Measures" uniqueName="[Measures]" caption="Measures"/>
    <dimension name="Tabla1" uniqueName="[Tabla1]" caption="Tabla1"/>
    <dimension name="Tabla2" uniqueName="[Tabla2]" caption="Tabla2"/>
    <dimension name="Tabla3" uniqueName="[Tabla3]" caption="Tabla3"/>
  </dimensions>
  <measureGroups count="3">
    <measureGroup name="Tabla1" caption="Tabla1"/>
    <measureGroup name="Tabla2" caption="Tabla2"/>
    <measureGroup name="Tabla3" caption="Tabla3"/>
  </measureGroups>
  <maps count="3">
    <map measureGroup="0" dimension="1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cer" refreshedDate="45232.449252199076" createdVersion="5" refreshedVersion="8" minRefreshableVersion="3" recordCount="0" supportSubquery="1" supportAdvancedDrill="1" xr:uid="{60E83076-018D-434E-B355-19F9DF5D9722}">
  <cacheSource type="external" connectionId="1"/>
  <cacheFields count="3">
    <cacheField name="[Tabla2].[Columna6].[Columna6]" caption="Columna6" numFmtId="0" hierarchy="9" level="1">
      <sharedItems containsSemiMixedTypes="0" containsString="0" containsNumber="1" containsInteger="1" minValue="1" maxValue="2" count="2">
        <n v="2"/>
        <n v="1" u="1"/>
      </sharedItems>
      <extLst>
        <ext xmlns:x15="http://schemas.microsoft.com/office/spreadsheetml/2010/11/main" uri="{4F2E5C28-24EA-4eb8-9CBF-B6C8F9C3D259}">
          <x15:cachedUniqueNames>
            <x15:cachedUniqueName index="0" name="[Tabla2].[Columna6].&amp;[2]"/>
            <x15:cachedUniqueName index="1" name="[Tabla2].[Columna6].&amp;[1]"/>
          </x15:cachedUniqueNames>
        </ext>
      </extLst>
    </cacheField>
    <cacheField name="[Measures].[Suma de Columna3]" caption="Suma de Columna3" numFmtId="0" hierarchy="19" level="32767"/>
    <cacheField name="[Tabla2].[Columna2].[Columna2]" caption="Columna2" numFmtId="0" hierarchy="5" level="1">
      <sharedItems count="2">
        <s v="Camisa"/>
        <s v="Pantalón"/>
      </sharedItems>
    </cacheField>
  </cacheFields>
  <cacheHierarchies count="36">
    <cacheHierarchy uniqueName="[Tabla1].[Columna1]" caption="Columna1" attribute="1" defaultMemberUniqueName="[Tabla1].[Columna1].[All]" allUniqueName="[Tabla1].[Columna1].[All]" dimensionUniqueName="[Tabla1]" displayFolder="" count="2" memberValueDatatype="130" unbalanced="0"/>
    <cacheHierarchy uniqueName="[Tabla1].[Columna2]" caption="Columna2" attribute="1" defaultMemberUniqueName="[Tabla1].[Columna2].[All]" allUniqueName="[Tabla1].[Columna2].[All]" dimensionUniqueName="[Tabla1]" displayFolder="" count="2" memberValueDatatype="130" unbalanced="0"/>
    <cacheHierarchy uniqueName="[Tabla1].[Columna3]" caption="Columna3" attribute="1" defaultMemberUniqueName="[Tabla1].[Columna3].[All]" allUniqueName="[Tabla1].[Columna3].[All]" dimensionUniqueName="[Tabla1]" displayFolder="" count="2" memberValueDatatype="20" unbalanced="0"/>
    <cacheHierarchy uniqueName="[Tabla1].[Columna4]" caption="Columna4" attribute="1" defaultMemberUniqueName="[Tabla1].[Columna4].[All]" allUniqueName="[Tabla1].[Columna4].[All]" dimensionUniqueName="[Tabla1]" displayFolder="" count="2" memberValueDatatype="20" unbalanced="0"/>
    <cacheHierarchy uniqueName="[Tabla2].[Columna1]" caption="Columna1" attribute="1" time="1" defaultMemberUniqueName="[Tabla2].[Columna1].[All]" allUniqueName="[Tabla2].[Columna1].[All]" dimensionUniqueName="[Tabla2]" displayFolder="" count="2" memberValueDatatype="7" unbalanced="0"/>
    <cacheHierarchy uniqueName="[Tabla2].[Columna2]" caption="Columna2" attribute="1" defaultMemberUniqueName="[Tabla2].[Columna2].[All]" allUniqueName="[Tabla2].[Columna2].[All]" dimensionUniqueName="[Tabla2]" displayFolder="" count="2" memberValueDatatype="130" unbalanced="0">
      <fieldsUsage count="2">
        <fieldUsage x="-1"/>
        <fieldUsage x="2"/>
      </fieldsUsage>
    </cacheHierarchy>
    <cacheHierarchy uniqueName="[Tabla2].[Columna3]" caption="Columna3" attribute="1" defaultMemberUniqueName="[Tabla2].[Columna3].[All]" allUniqueName="[Tabla2].[Columna3].[All]" dimensionUniqueName="[Tabla2]" displayFolder="" count="2" memberValueDatatype="20" unbalanced="0"/>
    <cacheHierarchy uniqueName="[Tabla2].[Columna4]" caption="Columna4" attribute="1" defaultMemberUniqueName="[Tabla2].[Columna4].[All]" allUniqueName="[Tabla2].[Columna4].[All]" dimensionUniqueName="[Tabla2]" displayFolder="" count="2" memberValueDatatype="130" unbalanced="0"/>
    <cacheHierarchy uniqueName="[Tabla2].[Columna5]" caption="Columna5" attribute="1" defaultMemberUniqueName="[Tabla2].[Columna5].[All]" allUniqueName="[Tabla2].[Columna5].[All]" dimensionUniqueName="[Tabla2]" displayFolder="" count="2" memberValueDatatype="20" unbalanced="0"/>
    <cacheHierarchy uniqueName="[Tabla2].[Columna6]" caption="Columna6" attribute="1" defaultMemberUniqueName="[Tabla2].[Columna6].[All]" allUniqueName="[Tabla2].[Columna6].[All]" dimensionUniqueName="[Tabla2]" displayFolder="" count="2" memberValueDatatype="20" unbalanced="0">
      <fieldsUsage count="2">
        <fieldUsage x="-1"/>
        <fieldUsage x="0"/>
      </fieldsUsage>
    </cacheHierarchy>
    <cacheHierarchy uniqueName="[Tabla2].[Columna7]" caption="Columna7" attribute="1" defaultMemberUniqueName="[Tabla2].[Columna7].[All]" allUniqueName="[Tabla2].[Columna7].[All]" dimensionUniqueName="[Tabla2]" displayFolder="" count="2" memberValueDatatype="20" unbalanced="0"/>
    <cacheHierarchy uniqueName="[Tabla2].[Columna1 (mes)]" caption="Columna1 (mes)" attribute="1" defaultMemberUniqueName="[Tabla2].[Columna1 (mes)].[All]" allUniqueName="[Tabla2].[Columna1 (mes)].[All]" dimensionUniqueName="[Tabla2]" displayFolder="" count="2" memberValueDatatype="130" unbalanced="0"/>
    <cacheHierarchy uniqueName="[Tabla3].[Columna1]" caption="Columna1" attribute="1" defaultMemberUniqueName="[Tabla3].[Columna1].[All]" allUniqueName="[Tabla3].[Columna1].[All]" dimensionUniqueName="[Tabla3]" displayFolder="" count="2" memberValueDatatype="130" unbalanced="0"/>
    <cacheHierarchy uniqueName="[Tabla3].[Columna2]" caption="Columna2" attribute="1" defaultMemberUniqueName="[Tabla3].[Columna2].[All]" allUniqueName="[Tabla3].[Columna2].[All]" dimensionUniqueName="[Tabla3]" displayFolder="" count="2" memberValueDatatype="130" unbalanced="0"/>
    <cacheHierarchy uniqueName="[Tabla3].[Columna3]" caption="Columna3" attribute="1" defaultMemberUniqueName="[Tabla3].[Columna3].[All]" allUniqueName="[Tabla3].[Columna3].[All]" dimensionUniqueName="[Tabla3]" displayFolder="" count="2" memberValueDatatype="130" unbalanced="0"/>
    <cacheHierarchy uniqueName="[Tabla3].[Columna4]" caption="Columna4" attribute="1" defaultMemberUniqueName="[Tabla3].[Columna4].[All]" allUniqueName="[Tabla3].[Columna4].[All]" dimensionUniqueName="[Tabla3]" displayFolder="" count="2" memberValueDatatype="130" unbalanced="0"/>
    <cacheHierarchy uniqueName="[Tabla3].[Columna5]" caption="Columna5" attribute="1" defaultMemberUniqueName="[Tabla3].[Columna5].[All]" allUniqueName="[Tabla3].[Columna5].[All]" dimensionUniqueName="[Tabla3]" displayFolder="" count="2" memberValueDatatype="130" unbalanced="0"/>
    <cacheHierarchy uniqueName="[Tabla2].[Columna1 (índice de meses)]" caption="Columna1 (índice de meses)" attribute="1" defaultMemberUniqueName="[Tabla2].[Columna1 (índice de meses)].[All]" allUniqueName="[Tabla2].[Columna1 (índice de meses)].[All]" dimensionUniqueName="[Tabla2]" displayFolder="" count="2" memberValueDatatype="20" unbalanced="0" hidden="1"/>
    <cacheHierarchy uniqueName="[Measures].[Recuento de Columna2]" caption="Recuento de Columna2" measure="1" displayFolder="" measureGroup="Tabla1" count="0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Columna3]" caption="Suma de Columna3" measure="1" displayFolder="" measureGroup="Tabla2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a de Columna5]" caption="Suma de Columna5" measure="1" displayFolder="" measureGroup="Tabla2" count="0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Recuento de Columna2 2]" caption="Recuento de Columna2 2" measure="1" displayFolder="" measureGroup="Tabla2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Recuento de Columna4]" caption="Recuento de Columna4" measure="1" displayFolder="" measureGroup="Tabla2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Columna4]" caption="Suma de Columna4" measure="1" displayFolder="" measureGroup="Tabla1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Columna6]" caption="Suma de Columna6" measure="1" displayFolder="" measureGroup="Tabla2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Recuento de Columna4 2]" caption="Recuento de Columna4 2" measure="1" displayFolder="" measureGroup="Tabla3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Recuento de Columna5]" caption="Recuento de Columna5" measure="1" displayFolder="" measureGroup="Tabla3" count="0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Recuento de Columna3]" caption="Recuento de Columna3" measure="1" displayFolder="" measureGroup="Tabla3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Recuento de Columna2 3]" caption="Recuento de Columna2 3" measure="1" displayFolder="" measureGroup="Tabla3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Recuento de Columna1]" caption="Recuento de Columna1" measure="1" displayFolder="" measureGroup="Tabla3" count="0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a de Columna7]" caption="Suma de Columna7" measure="1" displayFolder="" measureGroup="Tabla2" count="0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Recuento de Columna1 2]" caption="Recuento de Columna1 2" measure="1" displayFolder="" measureGroup="Tabla2" count="0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__XL_Count Tabla1]" caption="__XL_Count Tabla1" measure="1" displayFolder="" measureGroup="Tabla1" count="0" hidden="1"/>
    <cacheHierarchy uniqueName="[Measures].[__XL_Count Tabla2]" caption="__XL_Count Tabla2" measure="1" displayFolder="" measureGroup="Tabla2" count="0" hidden="1"/>
    <cacheHierarchy uniqueName="[Measures].[__XL_Count Tabla3]" caption="__XL_Count Tabla3" measure="1" displayFolder="" measureGroup="Tabla3" count="0" hidden="1"/>
    <cacheHierarchy uniqueName="[Measures].[__No hay medidas definidas]" caption="__No hay medidas definidas" measure="1" displayFolder="" count="0" hidden="1"/>
  </cacheHierarchies>
  <kpis count="0"/>
  <dimensions count="4">
    <dimension measure="1" name="Measures" uniqueName="[Measures]" caption="Measures"/>
    <dimension name="Tabla1" uniqueName="[Tabla1]" caption="Tabla1"/>
    <dimension name="Tabla2" uniqueName="[Tabla2]" caption="Tabla2"/>
    <dimension name="Tabla3" uniqueName="[Tabla3]" caption="Tabla3"/>
  </dimensions>
  <measureGroups count="3">
    <measureGroup name="Tabla1" caption="Tabla1"/>
    <measureGroup name="Tabla2" caption="Tabla2"/>
    <measureGroup name="Tabla3" caption="Tabla3"/>
  </measureGroups>
  <maps count="3">
    <map measureGroup="0" dimension="1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cer" refreshedDate="45232.439342824073" createdVersion="3" refreshedVersion="8" minRefreshableVersion="3" recordCount="0" supportSubquery="1" supportAdvancedDrill="1" xr:uid="{ABFFE600-63E2-4E34-B861-F1E53E4D9BEC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36">
    <cacheHierarchy uniqueName="[Tabla1].[Columna1]" caption="Columna1" attribute="1" defaultMemberUniqueName="[Tabla1].[Columna1].[All]" allUniqueName="[Tabla1].[Columna1].[All]" dimensionUniqueName="[Tabla1]" displayFolder="" count="2" memberValueDatatype="130" unbalanced="0"/>
    <cacheHierarchy uniqueName="[Tabla1].[Columna2]" caption="Columna2" attribute="1" defaultMemberUniqueName="[Tabla1].[Columna2].[All]" allUniqueName="[Tabla1].[Columna2].[All]" dimensionUniqueName="[Tabla1]" displayFolder="" count="0" memberValueDatatype="130" unbalanced="0"/>
    <cacheHierarchy uniqueName="[Tabla1].[Columna3]" caption="Columna3" attribute="1" defaultMemberUniqueName="[Tabla1].[Columna3].[All]" allUniqueName="[Tabla1].[Columna3].[All]" dimensionUniqueName="[Tabla1]" displayFolder="" count="0" memberValueDatatype="20" unbalanced="0"/>
    <cacheHierarchy uniqueName="[Tabla1].[Columna4]" caption="Columna4" attribute="1" defaultMemberUniqueName="[Tabla1].[Columna4].[All]" allUniqueName="[Tabla1].[Columna4].[All]" dimensionUniqueName="[Tabla1]" displayFolder="" count="0" memberValueDatatype="20" unbalanced="0"/>
    <cacheHierarchy uniqueName="[Tabla2].[Columna1]" caption="Columna1" attribute="1" time="1" defaultMemberUniqueName="[Tabla2].[Columna1].[All]" allUniqueName="[Tabla2].[Columna1].[All]" dimensionUniqueName="[Tabla2]" displayFolder="" count="0" memberValueDatatype="7" unbalanced="0"/>
    <cacheHierarchy uniqueName="[Tabla2].[Columna2]" caption="Columna2" attribute="1" defaultMemberUniqueName="[Tabla2].[Columna2].[All]" allUniqueName="[Tabla2].[Columna2].[All]" dimensionUniqueName="[Tabla2]" displayFolder="" count="0" memberValueDatatype="130" unbalanced="0"/>
    <cacheHierarchy uniqueName="[Tabla2].[Columna3]" caption="Columna3" attribute="1" defaultMemberUniqueName="[Tabla2].[Columna3].[All]" allUniqueName="[Tabla2].[Columna3].[All]" dimensionUniqueName="[Tabla2]" displayFolder="" count="0" memberValueDatatype="20" unbalanced="0"/>
    <cacheHierarchy uniqueName="[Tabla2].[Columna4]" caption="Columna4" attribute="1" defaultMemberUniqueName="[Tabla2].[Columna4].[All]" allUniqueName="[Tabla2].[Columna4].[All]" dimensionUniqueName="[Tabla2]" displayFolder="" count="0" memberValueDatatype="130" unbalanced="0"/>
    <cacheHierarchy uniqueName="[Tabla2].[Columna5]" caption="Columna5" attribute="1" defaultMemberUniqueName="[Tabla2].[Columna5].[All]" allUniqueName="[Tabla2].[Columna5].[All]" dimensionUniqueName="[Tabla2]" displayFolder="" count="0" memberValueDatatype="20" unbalanced="0"/>
    <cacheHierarchy uniqueName="[Tabla2].[Columna6]" caption="Columna6" attribute="1" defaultMemberUniqueName="[Tabla2].[Columna6].[All]" allUniqueName="[Tabla2].[Columna6].[All]" dimensionUniqueName="[Tabla2]" displayFolder="" count="0" memberValueDatatype="20" unbalanced="0"/>
    <cacheHierarchy uniqueName="[Tabla2].[Columna7]" caption="Columna7" attribute="1" defaultMemberUniqueName="[Tabla2].[Columna7].[All]" allUniqueName="[Tabla2].[Columna7].[All]" dimensionUniqueName="[Tabla2]" displayFolder="" count="0" memberValueDatatype="20" unbalanced="0"/>
    <cacheHierarchy uniqueName="[Tabla2].[Columna1 (mes)]" caption="Columna1 (mes)" attribute="1" defaultMemberUniqueName="[Tabla2].[Columna1 (mes)].[All]" allUniqueName="[Tabla2].[Columna1 (mes)].[All]" dimensionUniqueName="[Tabla2]" displayFolder="" count="0" memberValueDatatype="130" unbalanced="0"/>
    <cacheHierarchy uniqueName="[Tabla3].[Columna1]" caption="Columna1" attribute="1" defaultMemberUniqueName="[Tabla3].[Columna1].[All]" allUniqueName="[Tabla3].[Columna1].[All]" dimensionUniqueName="[Tabla3]" displayFolder="" count="0" memberValueDatatype="130" unbalanced="0"/>
    <cacheHierarchy uniqueName="[Tabla3].[Columna2]" caption="Columna2" attribute="1" defaultMemberUniqueName="[Tabla3].[Columna2].[All]" allUniqueName="[Tabla3].[Columna2].[All]" dimensionUniqueName="[Tabla3]" displayFolder="" count="0" memberValueDatatype="130" unbalanced="0"/>
    <cacheHierarchy uniqueName="[Tabla3].[Columna3]" caption="Columna3" attribute="1" defaultMemberUniqueName="[Tabla3].[Columna3].[All]" allUniqueName="[Tabla3].[Columna3].[All]" dimensionUniqueName="[Tabla3]" displayFolder="" count="0" memberValueDatatype="130" unbalanced="0"/>
    <cacheHierarchy uniqueName="[Tabla3].[Columna4]" caption="Columna4" attribute="1" defaultMemberUniqueName="[Tabla3].[Columna4].[All]" allUniqueName="[Tabla3].[Columna4].[All]" dimensionUniqueName="[Tabla3]" displayFolder="" count="0" memberValueDatatype="130" unbalanced="0"/>
    <cacheHierarchy uniqueName="[Tabla3].[Columna5]" caption="Columna5" attribute="1" defaultMemberUniqueName="[Tabla3].[Columna5].[All]" allUniqueName="[Tabla3].[Columna5].[All]" dimensionUniqueName="[Tabla3]" displayFolder="" count="0" memberValueDatatype="130" unbalanced="0"/>
    <cacheHierarchy uniqueName="[Tabla2].[Columna1 (índice de meses)]" caption="Columna1 (índice de meses)" attribute="1" defaultMemberUniqueName="[Tabla2].[Columna1 (índice de meses)].[All]" allUniqueName="[Tabla2].[Columna1 (índice de meses)].[All]" dimensionUniqueName="[Tabla2]" displayFolder="" count="0" memberValueDatatype="20" unbalanced="0" hidden="1"/>
    <cacheHierarchy uniqueName="[Measures].[Recuento de Columna2]" caption="Recuento de Columna2" measure="1" displayFolder="" measureGroup="Tabla1" count="0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Columna3]" caption="Suma de Columna3" measure="1" displayFolder="" measureGroup="Tabla2" count="0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a de Columna5]" caption="Suma de Columna5" measure="1" displayFolder="" measureGroup="Tabla2" count="0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Recuento de Columna2 2]" caption="Recuento de Columna2 2" measure="1" displayFolder="" measureGroup="Tabla2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Recuento de Columna4]" caption="Recuento de Columna4" measure="1" displayFolder="" measureGroup="Tabla2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Columna4]" caption="Suma de Columna4" measure="1" displayFolder="" measureGroup="Tabla1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Columna6]" caption="Suma de Columna6" measure="1" displayFolder="" measureGroup="Tabla2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Recuento de Columna4 2]" caption="Recuento de Columna4 2" measure="1" displayFolder="" measureGroup="Tabla3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Recuento de Columna5]" caption="Recuento de Columna5" measure="1" displayFolder="" measureGroup="Tabla3" count="0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Recuento de Columna3]" caption="Recuento de Columna3" measure="1" displayFolder="" measureGroup="Tabla3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Recuento de Columna2 3]" caption="Recuento de Columna2 3" measure="1" displayFolder="" measureGroup="Tabla3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Recuento de Columna1]" caption="Recuento de Columna1" measure="1" displayFolder="" measureGroup="Tabla3" count="0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a de Columna7]" caption="Suma de Columna7" measure="1" displayFolder="" measureGroup="Tabla2" count="0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Recuento de Columna1 2]" caption="Recuento de Columna1 2" measure="1" displayFolder="" measureGroup="Tabla2" count="0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__XL_Count Tabla1]" caption="__XL_Count Tabla1" measure="1" displayFolder="" measureGroup="Tabla1" count="0" hidden="1"/>
    <cacheHierarchy uniqueName="[Measures].[__XL_Count Tabla2]" caption="__XL_Count Tabla2" measure="1" displayFolder="" measureGroup="Tabla2" count="0" hidden="1"/>
    <cacheHierarchy uniqueName="[Measures].[__XL_Count Tabla3]" caption="__XL_Count Tabla3" measure="1" displayFolder="" measureGroup="Tabla3" count="0" hidden="1"/>
    <cacheHierarchy uniqueName="[Measures].[__No hay medidas definidas]" caption="__No hay medidas definidas" measure="1" displayFolder="" count="0" hidden="1"/>
  </cacheHierarchies>
  <kpis count="0"/>
  <extLst>
    <ext xmlns:x14="http://schemas.microsoft.com/office/spreadsheetml/2009/9/main" uri="{725AE2AE-9491-48be-B2B4-4EB974FC3084}">
      <x14:pivotCacheDefinition slicerData="1" pivotCacheId="1526601373"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cer" refreshedDate="45232.439347106483" createdVersion="3" refreshedVersion="8" minRefreshableVersion="3" recordCount="0" supportSubquery="1" supportAdvancedDrill="1" xr:uid="{80395711-3C95-4B37-8E32-66FCDBF7018A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36">
    <cacheHierarchy uniqueName="[Tabla1].[Columna1]" caption="Columna1" attribute="1" defaultMemberUniqueName="[Tabla1].[Columna1].[All]" allUniqueName="[Tabla1].[Columna1].[All]" dimensionUniqueName="[Tabla1]" displayFolder="" count="0" memberValueDatatype="130" unbalanced="0"/>
    <cacheHierarchy uniqueName="[Tabla1].[Columna2]" caption="Columna2" attribute="1" defaultMemberUniqueName="[Tabla1].[Columna2].[All]" allUniqueName="[Tabla1].[Columna2].[All]" dimensionUniqueName="[Tabla1]" displayFolder="" count="0" memberValueDatatype="130" unbalanced="0"/>
    <cacheHierarchy uniqueName="[Tabla1].[Columna3]" caption="Columna3" attribute="1" defaultMemberUniqueName="[Tabla1].[Columna3].[All]" allUniqueName="[Tabla1].[Columna3].[All]" dimensionUniqueName="[Tabla1]" displayFolder="" count="0" memberValueDatatype="20" unbalanced="0"/>
    <cacheHierarchy uniqueName="[Tabla1].[Columna4]" caption="Columna4" attribute="1" defaultMemberUniqueName="[Tabla1].[Columna4].[All]" allUniqueName="[Tabla1].[Columna4].[All]" dimensionUniqueName="[Tabla1]" displayFolder="" count="0" memberValueDatatype="20" unbalanced="0"/>
    <cacheHierarchy uniqueName="[Tabla2].[Columna1]" caption="Columna1" attribute="1" time="1" defaultMemberUniqueName="[Tabla2].[Columna1].[All]" allUniqueName="[Tabla2].[Columna1].[All]" dimensionUniqueName="[Tabla2]" displayFolder="" count="0" memberValueDatatype="7" unbalanced="0"/>
    <cacheHierarchy uniqueName="[Tabla2].[Columna2]" caption="Columna2" attribute="1" defaultMemberUniqueName="[Tabla2].[Columna2].[All]" allUniqueName="[Tabla2].[Columna2].[All]" dimensionUniqueName="[Tabla2]" displayFolder="" count="0" memberValueDatatype="130" unbalanced="0"/>
    <cacheHierarchy uniqueName="[Tabla2].[Columna3]" caption="Columna3" attribute="1" defaultMemberUniqueName="[Tabla2].[Columna3].[All]" allUniqueName="[Tabla2].[Columna3].[All]" dimensionUniqueName="[Tabla2]" displayFolder="" count="0" memberValueDatatype="20" unbalanced="0"/>
    <cacheHierarchy uniqueName="[Tabla2].[Columna4]" caption="Columna4" attribute="1" defaultMemberUniqueName="[Tabla2].[Columna4].[All]" allUniqueName="[Tabla2].[Columna4].[All]" dimensionUniqueName="[Tabla2]" displayFolder="" count="0" memberValueDatatype="130" unbalanced="0"/>
    <cacheHierarchy uniqueName="[Tabla2].[Columna5]" caption="Columna5" attribute="1" defaultMemberUniqueName="[Tabla2].[Columna5].[All]" allUniqueName="[Tabla2].[Columna5].[All]" dimensionUniqueName="[Tabla2]" displayFolder="" count="0" memberValueDatatype="20" unbalanced="0"/>
    <cacheHierarchy uniqueName="[Tabla2].[Columna6]" caption="Columna6" attribute="1" defaultMemberUniqueName="[Tabla2].[Columna6].[All]" allUniqueName="[Tabla2].[Columna6].[All]" dimensionUniqueName="[Tabla2]" displayFolder="" count="0" memberValueDatatype="20" unbalanced="0"/>
    <cacheHierarchy uniqueName="[Tabla2].[Columna7]" caption="Columna7" attribute="1" defaultMemberUniqueName="[Tabla2].[Columna7].[All]" allUniqueName="[Tabla2].[Columna7].[All]" dimensionUniqueName="[Tabla2]" displayFolder="" count="0" memberValueDatatype="20" unbalanced="0"/>
    <cacheHierarchy uniqueName="[Tabla2].[Columna1 (mes)]" caption="Columna1 (mes)" attribute="1" defaultMemberUniqueName="[Tabla2].[Columna1 (mes)].[All]" allUniqueName="[Tabla2].[Columna1 (mes)].[All]" dimensionUniqueName="[Tabla2]" displayFolder="" count="0" memberValueDatatype="130" unbalanced="0"/>
    <cacheHierarchy uniqueName="[Tabla3].[Columna1]" caption="Columna1" attribute="1" defaultMemberUniqueName="[Tabla3].[Columna1].[All]" allUniqueName="[Tabla3].[Columna1].[All]" dimensionUniqueName="[Tabla3]" displayFolder="" count="0" memberValueDatatype="130" unbalanced="0"/>
    <cacheHierarchy uniqueName="[Tabla3].[Columna2]" caption="Columna2" attribute="1" defaultMemberUniqueName="[Tabla3].[Columna2].[All]" allUniqueName="[Tabla3].[Columna2].[All]" dimensionUniqueName="[Tabla3]" displayFolder="" count="2" memberValueDatatype="130" unbalanced="0"/>
    <cacheHierarchy uniqueName="[Tabla3].[Columna3]" caption="Columna3" attribute="1" defaultMemberUniqueName="[Tabla3].[Columna3].[All]" allUniqueName="[Tabla3].[Columna3].[All]" dimensionUniqueName="[Tabla3]" displayFolder="" count="0" memberValueDatatype="130" unbalanced="0"/>
    <cacheHierarchy uniqueName="[Tabla3].[Columna4]" caption="Columna4" attribute="1" defaultMemberUniqueName="[Tabla3].[Columna4].[All]" allUniqueName="[Tabla3].[Columna4].[All]" dimensionUniqueName="[Tabla3]" displayFolder="" count="0" memberValueDatatype="130" unbalanced="0"/>
    <cacheHierarchy uniqueName="[Tabla3].[Columna5]" caption="Columna5" attribute="1" defaultMemberUniqueName="[Tabla3].[Columna5].[All]" allUniqueName="[Tabla3].[Columna5].[All]" dimensionUniqueName="[Tabla3]" displayFolder="" count="0" memberValueDatatype="130" unbalanced="0"/>
    <cacheHierarchy uniqueName="[Tabla2].[Columna1 (índice de meses)]" caption="Columna1 (índice de meses)" attribute="1" defaultMemberUniqueName="[Tabla2].[Columna1 (índice de meses)].[All]" allUniqueName="[Tabla2].[Columna1 (índice de meses)].[All]" dimensionUniqueName="[Tabla2]" displayFolder="" count="0" memberValueDatatype="20" unbalanced="0" hidden="1"/>
    <cacheHierarchy uniqueName="[Measures].[Recuento de Columna2]" caption="Recuento de Columna2" measure="1" displayFolder="" measureGroup="Tabla1" count="0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Columna3]" caption="Suma de Columna3" measure="1" displayFolder="" measureGroup="Tabla2" count="0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a de Columna5]" caption="Suma de Columna5" measure="1" displayFolder="" measureGroup="Tabla2" count="0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Recuento de Columna2 2]" caption="Recuento de Columna2 2" measure="1" displayFolder="" measureGroup="Tabla2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Recuento de Columna4]" caption="Recuento de Columna4" measure="1" displayFolder="" measureGroup="Tabla2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Columna4]" caption="Suma de Columna4" measure="1" displayFolder="" measureGroup="Tabla1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Columna6]" caption="Suma de Columna6" measure="1" displayFolder="" measureGroup="Tabla2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Recuento de Columna4 2]" caption="Recuento de Columna4 2" measure="1" displayFolder="" measureGroup="Tabla3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Recuento de Columna5]" caption="Recuento de Columna5" measure="1" displayFolder="" measureGroup="Tabla3" count="0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Recuento de Columna3]" caption="Recuento de Columna3" measure="1" displayFolder="" measureGroup="Tabla3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Recuento de Columna2 3]" caption="Recuento de Columna2 3" measure="1" displayFolder="" measureGroup="Tabla3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Recuento de Columna1]" caption="Recuento de Columna1" measure="1" displayFolder="" measureGroup="Tabla3" count="0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a de Columna7]" caption="Suma de Columna7" measure="1" displayFolder="" measureGroup="Tabla2" count="0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Recuento de Columna1 2]" caption="Recuento de Columna1 2" measure="1" displayFolder="" measureGroup="Tabla2" count="0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__XL_Count Tabla1]" caption="__XL_Count Tabla1" measure="1" displayFolder="" measureGroup="Tabla1" count="0" hidden="1"/>
    <cacheHierarchy uniqueName="[Measures].[__XL_Count Tabla2]" caption="__XL_Count Tabla2" measure="1" displayFolder="" measureGroup="Tabla2" count="0" hidden="1"/>
    <cacheHierarchy uniqueName="[Measures].[__XL_Count Tabla3]" caption="__XL_Count Tabla3" measure="1" displayFolder="" measureGroup="Tabla3" count="0" hidden="1"/>
    <cacheHierarchy uniqueName="[Measures].[__No hay medidas definidas]" caption="__No hay medidas definidas" measure="1" displayFolder="" count="0" hidden="1"/>
  </cacheHierarchies>
  <kpis count="0"/>
  <extLst>
    <ext xmlns:x14="http://schemas.microsoft.com/office/spreadsheetml/2009/9/main" uri="{725AE2AE-9491-48be-B2B4-4EB974FC3084}">
      <x14:pivotCacheDefinition slicerData="1" pivotCacheId="2101068020"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cer" refreshedDate="45232.439351041663" createdVersion="3" refreshedVersion="8" minRefreshableVersion="3" recordCount="0" supportSubquery="1" supportAdvancedDrill="1" xr:uid="{40E731CE-B996-43DC-B988-88AD18CB0830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36">
    <cacheHierarchy uniqueName="[Tabla1].[Columna1]" caption="Columna1" attribute="1" defaultMemberUniqueName="[Tabla1].[Columna1].[All]" allUniqueName="[Tabla1].[Columna1].[All]" dimensionUniqueName="[Tabla1]" displayFolder="" count="0" memberValueDatatype="130" unbalanced="0"/>
    <cacheHierarchy uniqueName="[Tabla1].[Columna2]" caption="Columna2" attribute="1" defaultMemberUniqueName="[Tabla1].[Columna2].[All]" allUniqueName="[Tabla1].[Columna2].[All]" dimensionUniqueName="[Tabla1]" displayFolder="" count="0" memberValueDatatype="130" unbalanced="0"/>
    <cacheHierarchy uniqueName="[Tabla1].[Columna3]" caption="Columna3" attribute="1" defaultMemberUniqueName="[Tabla1].[Columna3].[All]" allUniqueName="[Tabla1].[Columna3].[All]" dimensionUniqueName="[Tabla1]" displayFolder="" count="0" memberValueDatatype="20" unbalanced="0"/>
    <cacheHierarchy uniqueName="[Tabla1].[Columna4]" caption="Columna4" attribute="1" defaultMemberUniqueName="[Tabla1].[Columna4].[All]" allUniqueName="[Tabla1].[Columna4].[All]" dimensionUniqueName="[Tabla1]" displayFolder="" count="0" memberValueDatatype="20" unbalanced="0"/>
    <cacheHierarchy uniqueName="[Tabla2].[Columna1]" caption="Columna1" attribute="1" time="1" defaultMemberUniqueName="[Tabla2].[Columna1].[All]" allUniqueName="[Tabla2].[Columna1].[All]" dimensionUniqueName="[Tabla2]" displayFolder="" count="0" memberValueDatatype="7" unbalanced="0"/>
    <cacheHierarchy uniqueName="[Tabla2].[Columna2]" caption="Columna2" attribute="1" defaultMemberUniqueName="[Tabla2].[Columna2].[All]" allUniqueName="[Tabla2].[Columna2].[All]" dimensionUniqueName="[Tabla2]" displayFolder="" count="0" memberValueDatatype="130" unbalanced="0"/>
    <cacheHierarchy uniqueName="[Tabla2].[Columna3]" caption="Columna3" attribute="1" defaultMemberUniqueName="[Tabla2].[Columna3].[All]" allUniqueName="[Tabla2].[Columna3].[All]" dimensionUniqueName="[Tabla2]" displayFolder="" count="0" memberValueDatatype="20" unbalanced="0"/>
    <cacheHierarchy uniqueName="[Tabla2].[Columna4]" caption="Columna4" attribute="1" defaultMemberUniqueName="[Tabla2].[Columna4].[All]" allUniqueName="[Tabla2].[Columna4].[All]" dimensionUniqueName="[Tabla2]" displayFolder="" count="0" memberValueDatatype="130" unbalanced="0"/>
    <cacheHierarchy uniqueName="[Tabla2].[Columna5]" caption="Columna5" attribute="1" defaultMemberUniqueName="[Tabla2].[Columna5].[All]" allUniqueName="[Tabla2].[Columna5].[All]" dimensionUniqueName="[Tabla2]" displayFolder="" count="0" memberValueDatatype="20" unbalanced="0"/>
    <cacheHierarchy uniqueName="[Tabla2].[Columna6]" caption="Columna6" attribute="1" defaultMemberUniqueName="[Tabla2].[Columna6].[All]" allUniqueName="[Tabla2].[Columna6].[All]" dimensionUniqueName="[Tabla2]" displayFolder="" count="0" memberValueDatatype="20" unbalanced="0"/>
    <cacheHierarchy uniqueName="[Tabla2].[Columna7]" caption="Columna7" attribute="1" defaultMemberUniqueName="[Tabla2].[Columna7].[All]" allUniqueName="[Tabla2].[Columna7].[All]" dimensionUniqueName="[Tabla2]" displayFolder="" count="0" memberValueDatatype="20" unbalanced="0"/>
    <cacheHierarchy uniqueName="[Tabla2].[Columna1 (mes)]" caption="Columna1 (mes)" attribute="1" defaultMemberUniqueName="[Tabla2].[Columna1 (mes)].[All]" allUniqueName="[Tabla2].[Columna1 (mes)].[All]" dimensionUniqueName="[Tabla2]" displayFolder="" count="2" memberValueDatatype="130" unbalanced="0"/>
    <cacheHierarchy uniqueName="[Tabla3].[Columna1]" caption="Columna1" attribute="1" defaultMemberUniqueName="[Tabla3].[Columna1].[All]" allUniqueName="[Tabla3].[Columna1].[All]" dimensionUniqueName="[Tabla3]" displayFolder="" count="0" memberValueDatatype="130" unbalanced="0"/>
    <cacheHierarchy uniqueName="[Tabla3].[Columna2]" caption="Columna2" attribute="1" defaultMemberUniqueName="[Tabla3].[Columna2].[All]" allUniqueName="[Tabla3].[Columna2].[All]" dimensionUniqueName="[Tabla3]" displayFolder="" count="0" memberValueDatatype="130" unbalanced="0"/>
    <cacheHierarchy uniqueName="[Tabla3].[Columna3]" caption="Columna3" attribute="1" defaultMemberUniqueName="[Tabla3].[Columna3].[All]" allUniqueName="[Tabla3].[Columna3].[All]" dimensionUniqueName="[Tabla3]" displayFolder="" count="0" memberValueDatatype="130" unbalanced="0"/>
    <cacheHierarchy uniqueName="[Tabla3].[Columna4]" caption="Columna4" attribute="1" defaultMemberUniqueName="[Tabla3].[Columna4].[All]" allUniqueName="[Tabla3].[Columna4].[All]" dimensionUniqueName="[Tabla3]" displayFolder="" count="0" memberValueDatatype="130" unbalanced="0"/>
    <cacheHierarchy uniqueName="[Tabla3].[Columna5]" caption="Columna5" attribute="1" defaultMemberUniqueName="[Tabla3].[Columna5].[All]" allUniqueName="[Tabla3].[Columna5].[All]" dimensionUniqueName="[Tabla3]" displayFolder="" count="0" memberValueDatatype="130" unbalanced="0"/>
    <cacheHierarchy uniqueName="[Tabla2].[Columna1 (índice de meses)]" caption="Columna1 (índice de meses)" attribute="1" defaultMemberUniqueName="[Tabla2].[Columna1 (índice de meses)].[All]" allUniqueName="[Tabla2].[Columna1 (índice de meses)].[All]" dimensionUniqueName="[Tabla2]" displayFolder="" count="0" memberValueDatatype="20" unbalanced="0" hidden="1"/>
    <cacheHierarchy uniqueName="[Measures].[Recuento de Columna2]" caption="Recuento de Columna2" measure="1" displayFolder="" measureGroup="Tabla1" count="0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Columna3]" caption="Suma de Columna3" measure="1" displayFolder="" measureGroup="Tabla2" count="0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a de Columna5]" caption="Suma de Columna5" measure="1" displayFolder="" measureGroup="Tabla2" count="0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Recuento de Columna2 2]" caption="Recuento de Columna2 2" measure="1" displayFolder="" measureGroup="Tabla2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Recuento de Columna4]" caption="Recuento de Columna4" measure="1" displayFolder="" measureGroup="Tabla2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Columna4]" caption="Suma de Columna4" measure="1" displayFolder="" measureGroup="Tabla1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Columna6]" caption="Suma de Columna6" measure="1" displayFolder="" measureGroup="Tabla2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Recuento de Columna4 2]" caption="Recuento de Columna4 2" measure="1" displayFolder="" measureGroup="Tabla3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Recuento de Columna5]" caption="Recuento de Columna5" measure="1" displayFolder="" measureGroup="Tabla3" count="0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Recuento de Columna3]" caption="Recuento de Columna3" measure="1" displayFolder="" measureGroup="Tabla3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Recuento de Columna2 3]" caption="Recuento de Columna2 3" measure="1" displayFolder="" measureGroup="Tabla3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Recuento de Columna1]" caption="Recuento de Columna1" measure="1" displayFolder="" measureGroup="Tabla3" count="0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a de Columna7]" caption="Suma de Columna7" measure="1" displayFolder="" measureGroup="Tabla2" count="0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Recuento de Columna1 2]" caption="Recuento de Columna1 2" measure="1" displayFolder="" measureGroup="Tabla2" count="0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__XL_Count Tabla1]" caption="__XL_Count Tabla1" measure="1" displayFolder="" measureGroup="Tabla1" count="0" hidden="1"/>
    <cacheHierarchy uniqueName="[Measures].[__XL_Count Tabla2]" caption="__XL_Count Tabla2" measure="1" displayFolder="" measureGroup="Tabla2" count="0" hidden="1"/>
    <cacheHierarchy uniqueName="[Measures].[__XL_Count Tabla3]" caption="__XL_Count Tabla3" measure="1" displayFolder="" measureGroup="Tabla3" count="0" hidden="1"/>
    <cacheHierarchy uniqueName="[Measures].[__No hay medidas definidas]" caption="__No hay medidas definidas" measure="1" displayFolder="" count="0" hidden="1"/>
  </cacheHierarchies>
  <kpis count="0"/>
  <extLst>
    <ext xmlns:x14="http://schemas.microsoft.com/office/spreadsheetml/2009/9/main" uri="{725AE2AE-9491-48be-B2B4-4EB974FC3084}">
      <x14:pivotCacheDefinition slicerData="1" pivotCacheId="2094724733"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cer" refreshedDate="45232.446004513891" createdVersion="3" refreshedVersion="8" minRefreshableVersion="3" recordCount="0" supportSubquery="1" supportAdvancedDrill="1" xr:uid="{673F7F65-80B7-41C0-95F4-BECD402F7808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36">
    <cacheHierarchy uniqueName="[Tabla1].[Columna1]" caption="Columna1" attribute="1" defaultMemberUniqueName="[Tabla1].[Columna1].[All]" allUniqueName="[Tabla1].[Columna1].[All]" dimensionUniqueName="[Tabla1]" displayFolder="" count="0" memberValueDatatype="130" unbalanced="0"/>
    <cacheHierarchy uniqueName="[Tabla1].[Columna2]" caption="Columna2" attribute="1" defaultMemberUniqueName="[Tabla1].[Columna2].[All]" allUniqueName="[Tabla1].[Columna2].[All]" dimensionUniqueName="[Tabla1]" displayFolder="" count="0" memberValueDatatype="130" unbalanced="0"/>
    <cacheHierarchy uniqueName="[Tabla1].[Columna3]" caption="Columna3" attribute="1" defaultMemberUniqueName="[Tabla1].[Columna3].[All]" allUniqueName="[Tabla1].[Columna3].[All]" dimensionUniqueName="[Tabla1]" displayFolder="" count="0" memberValueDatatype="20" unbalanced="0"/>
    <cacheHierarchy uniqueName="[Tabla1].[Columna4]" caption="Columna4" attribute="1" defaultMemberUniqueName="[Tabla1].[Columna4].[All]" allUniqueName="[Tabla1].[Columna4].[All]" dimensionUniqueName="[Tabla1]" displayFolder="" count="0" memberValueDatatype="20" unbalanced="0"/>
    <cacheHierarchy uniqueName="[Tabla2].[Columna1]" caption="Columna1" attribute="1" time="1" defaultMemberUniqueName="[Tabla2].[Columna1].[All]" allUniqueName="[Tabla2].[Columna1].[All]" dimensionUniqueName="[Tabla2]" displayFolder="" count="0" memberValueDatatype="7" unbalanced="0"/>
    <cacheHierarchy uniqueName="[Tabla2].[Columna2]" caption="Columna2" attribute="1" defaultMemberUniqueName="[Tabla2].[Columna2].[All]" allUniqueName="[Tabla2].[Columna2].[All]" dimensionUniqueName="[Tabla2]" displayFolder="" count="0" memberValueDatatype="130" unbalanced="0"/>
    <cacheHierarchy uniqueName="[Tabla2].[Columna3]" caption="Columna3" attribute="1" defaultMemberUniqueName="[Tabla2].[Columna3].[All]" allUniqueName="[Tabla2].[Columna3].[All]" dimensionUniqueName="[Tabla2]" displayFolder="" count="0" memberValueDatatype="20" unbalanced="0"/>
    <cacheHierarchy uniqueName="[Tabla2].[Columna4]" caption="Columna4" attribute="1" defaultMemberUniqueName="[Tabla2].[Columna4].[All]" allUniqueName="[Tabla2].[Columna4].[All]" dimensionUniqueName="[Tabla2]" displayFolder="" count="0" memberValueDatatype="130" unbalanced="0"/>
    <cacheHierarchy uniqueName="[Tabla2].[Columna5]" caption="Columna5" attribute="1" defaultMemberUniqueName="[Tabla2].[Columna5].[All]" allUniqueName="[Tabla2].[Columna5].[All]" dimensionUniqueName="[Tabla2]" displayFolder="" count="0" memberValueDatatype="20" unbalanced="0"/>
    <cacheHierarchy uniqueName="[Tabla2].[Columna6]" caption="Columna6" attribute="1" defaultMemberUniqueName="[Tabla2].[Columna6].[All]" allUniqueName="[Tabla2].[Columna6].[All]" dimensionUniqueName="[Tabla2]" displayFolder="" count="2" memberValueDatatype="20" unbalanced="0"/>
    <cacheHierarchy uniqueName="[Tabla2].[Columna7]" caption="Columna7" attribute="1" defaultMemberUniqueName="[Tabla2].[Columna7].[All]" allUniqueName="[Tabla2].[Columna7].[All]" dimensionUniqueName="[Tabla2]" displayFolder="" count="0" memberValueDatatype="20" unbalanced="0"/>
    <cacheHierarchy uniqueName="[Tabla2].[Columna1 (mes)]" caption="Columna1 (mes)" attribute="1" defaultMemberUniqueName="[Tabla2].[Columna1 (mes)].[All]" allUniqueName="[Tabla2].[Columna1 (mes)].[All]" dimensionUniqueName="[Tabla2]" displayFolder="" count="0" memberValueDatatype="130" unbalanced="0"/>
    <cacheHierarchy uniqueName="[Tabla3].[Columna1]" caption="Columna1" attribute="1" defaultMemberUniqueName="[Tabla3].[Columna1].[All]" allUniqueName="[Tabla3].[Columna1].[All]" dimensionUniqueName="[Tabla3]" displayFolder="" count="0" memberValueDatatype="130" unbalanced="0"/>
    <cacheHierarchy uniqueName="[Tabla3].[Columna2]" caption="Columna2" attribute="1" defaultMemberUniqueName="[Tabla3].[Columna2].[All]" allUniqueName="[Tabla3].[Columna2].[All]" dimensionUniqueName="[Tabla3]" displayFolder="" count="0" memberValueDatatype="130" unbalanced="0"/>
    <cacheHierarchy uniqueName="[Tabla3].[Columna3]" caption="Columna3" attribute="1" defaultMemberUniqueName="[Tabla3].[Columna3].[All]" allUniqueName="[Tabla3].[Columna3].[All]" dimensionUniqueName="[Tabla3]" displayFolder="" count="0" memberValueDatatype="130" unbalanced="0"/>
    <cacheHierarchy uniqueName="[Tabla3].[Columna4]" caption="Columna4" attribute="1" defaultMemberUniqueName="[Tabla3].[Columna4].[All]" allUniqueName="[Tabla3].[Columna4].[All]" dimensionUniqueName="[Tabla3]" displayFolder="" count="0" memberValueDatatype="130" unbalanced="0"/>
    <cacheHierarchy uniqueName="[Tabla3].[Columna5]" caption="Columna5" attribute="1" defaultMemberUniqueName="[Tabla3].[Columna5].[All]" allUniqueName="[Tabla3].[Columna5].[All]" dimensionUniqueName="[Tabla3]" displayFolder="" count="0" memberValueDatatype="130" unbalanced="0"/>
    <cacheHierarchy uniqueName="[Tabla2].[Columna1 (índice de meses)]" caption="Columna1 (índice de meses)" attribute="1" defaultMemberUniqueName="[Tabla2].[Columna1 (índice de meses)].[All]" allUniqueName="[Tabla2].[Columna1 (índice de meses)].[All]" dimensionUniqueName="[Tabla2]" displayFolder="" count="0" memberValueDatatype="20" unbalanced="0" hidden="1"/>
    <cacheHierarchy uniqueName="[Measures].[Recuento de Columna2]" caption="Recuento de Columna2" measure="1" displayFolder="" measureGroup="Tabla1" count="0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Columna3]" caption="Suma de Columna3" measure="1" displayFolder="" measureGroup="Tabla2" count="0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a de Columna5]" caption="Suma de Columna5" measure="1" displayFolder="" measureGroup="Tabla2" count="0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Recuento de Columna2 2]" caption="Recuento de Columna2 2" measure="1" displayFolder="" measureGroup="Tabla2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Recuento de Columna4]" caption="Recuento de Columna4" measure="1" displayFolder="" measureGroup="Tabla2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Columna4]" caption="Suma de Columna4" measure="1" displayFolder="" measureGroup="Tabla1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Columna6]" caption="Suma de Columna6" measure="1" displayFolder="" measureGroup="Tabla2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Recuento de Columna4 2]" caption="Recuento de Columna4 2" measure="1" displayFolder="" measureGroup="Tabla3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Recuento de Columna5]" caption="Recuento de Columna5" measure="1" displayFolder="" measureGroup="Tabla3" count="0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Recuento de Columna3]" caption="Recuento de Columna3" measure="1" displayFolder="" measureGroup="Tabla3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Recuento de Columna2 3]" caption="Recuento de Columna2 3" measure="1" displayFolder="" measureGroup="Tabla3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Recuento de Columna1]" caption="Recuento de Columna1" measure="1" displayFolder="" measureGroup="Tabla3" count="0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a de Columna7]" caption="Suma de Columna7" measure="1" displayFolder="" measureGroup="Tabla2" count="0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Recuento de Columna1 2]" caption="Recuento de Columna1 2" measure="1" displayFolder="" measureGroup="Tabla2" count="0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__XL_Count Tabla1]" caption="__XL_Count Tabla1" measure="1" displayFolder="" measureGroup="Tabla1" count="0" hidden="1"/>
    <cacheHierarchy uniqueName="[Measures].[__XL_Count Tabla2]" caption="__XL_Count Tabla2" measure="1" displayFolder="" measureGroup="Tabla2" count="0" hidden="1"/>
    <cacheHierarchy uniqueName="[Measures].[__XL_Count Tabla3]" caption="__XL_Count Tabla3" measure="1" displayFolder="" measureGroup="Tabla3" count="0" hidden="1"/>
    <cacheHierarchy uniqueName="[Measures].[__No hay medidas definidas]" caption="__No hay medidas definidas" measure="1" displayFolder="" count="0" hidden="1"/>
  </cacheHierarchies>
  <kpis count="0"/>
  <extLst>
    <ext xmlns:x14="http://schemas.microsoft.com/office/spreadsheetml/2009/9/main" uri="{725AE2AE-9491-48be-B2B4-4EB974FC3084}">
      <x14:pivotCacheDefinition slicerData="1" pivotCacheId="714206882" supportSubqueryNonVisual="1" supportSubqueryCalcMem="1" supportAddCalcMems="1"/>
    </ext>
  </extLst>
</pivotCacheDefinition>
</file>

<file path=xl/pivotTables/_rels/pivotTable1.xml.rels><?xml version="1.0" encoding="UTF-8" standalone="no"?><Relationships xmlns="http://schemas.openxmlformats.org/package/2006/relationships"><Relationship Id="rId1" Target="../pivotCache/pivotCacheDefinition1.xml" Type="http://schemas.openxmlformats.org/officeDocument/2006/relationships/pivotCacheDefinition"/></Relationships>
</file>

<file path=xl/pivotTables/_rels/pivotTable2.xml.rels><?xml version="1.0" encoding="UTF-8" standalone="no"?><Relationships xmlns="http://schemas.openxmlformats.org/package/2006/relationships"><Relationship Id="rId1" Target="../pivotCache/pivotCacheDefinition3.xml" Type="http://schemas.openxmlformats.org/officeDocument/2006/relationships/pivotCacheDefinition"/></Relationships>
</file>

<file path=xl/pivotTables/_rels/pivotTable3.xml.rels><?xml version="1.0" encoding="UTF-8" standalone="no"?><Relationships xmlns="http://schemas.openxmlformats.org/package/2006/relationships"><Relationship Id="rId1" Target="../pivotCache/pivotCacheDefinition2.xml" Type="http://schemas.openxmlformats.org/officeDocument/2006/relationships/pivotCacheDefinition"/></Relationships>
</file>

<file path=xl/pivotTables/_rels/pivotTable4.xml.rels><?xml version="1.0" encoding="UTF-8" standalone="no"?><Relationships xmlns="http://schemas.openxmlformats.org/package/2006/relationships"><Relationship Id="rId1" Target="../pivotCache/pivotCacheDefinition4.xml" Type="http://schemas.openxmlformats.org/officeDocument/2006/relationships/pivotCacheDefinition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2AF5BA-6A65-4BEC-8359-286FA055A7ED}" name="TablaDinámica1" cacheId="0" applyNumberFormats="0" applyBorderFormats="0" applyFontFormats="0" applyPatternFormats="0" applyAlignmentFormats="0" applyWidthHeightFormats="1" dataCaption="Valores" tag="278bb942-5f6b-4528-b5bd-fea63408900b" updatedVersion="8" minRefreshableVersion="3" useAutoFormatting="1" subtotalHiddenItems="1" itemPrintTitles="1" createdVersion="5" indent="0" outline="1" outlineData="1" multipleFieldFilters="0" chartFormat="4">
  <location ref="B3:C5" firstHeaderRow="1" firstDataRow="1" firstDataCol="1"/>
  <pivotFields count="3">
    <pivotField axis="axisRow" allDrilled="1" subtotalTop="0" showAll="0" dataSourceSort="1" defaultSubtotal="0" defaultAttributeDrillState="1">
      <items count="2">
        <item s="1" x="0"/>
        <item x="1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2">
    <i>
      <x/>
    </i>
    <i t="grand">
      <x/>
    </i>
  </rowItems>
  <colItems count="1">
    <i/>
  </colItems>
  <dataFields count="1">
    <dataField name="Recuento de Columna2" fld="1" subtotal="count" baseField="0" baseItem="0"/>
  </dataFields>
  <chartFormats count="4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Hierarchies count="36">
    <pivotHierarchy multipleItemSelectionAllowed="1" dragToData="1"/>
    <pivotHierarchy multipleItemSelectionAllowed="1" dragToData="1">
      <members count="1" level="1">
        <member name="[Tabla1].[Columna2].&amp;[S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a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65FA8B-5DB2-4BDE-A61D-8661FB574CBA}" name="TablaDinámica27" cacheId="2" applyNumberFormats="0" applyBorderFormats="0" applyFontFormats="0" applyPatternFormats="0" applyAlignmentFormats="0" applyWidthHeightFormats="1" dataCaption="Valores" tag="06c1ec3f-d6cb-493f-af51-27cf1d7bb2cf" updatedVersion="8" minRefreshableVersion="3" useAutoFormatting="1" subtotalHiddenItems="1" itemPrintTitles="1" createdVersion="5" indent="0" outline="1" outlineData="1" multipleFieldFilters="0" chartFormat="5">
  <location ref="G22:I26" firstHeaderRow="0" firstDataRow="1" firstDataCol="1"/>
  <pivotFields count="4">
    <pivotField axis="axisRow" allDrilled="1" subtotalTop="0" showAll="0" dataSourceSort="1" defaultSubtotal="0" defaultAttributeDrillState="1">
      <items count="4">
        <item s="1" x="0"/>
        <item x="1"/>
        <item x="2"/>
        <item x="3"/>
      </items>
    </pivotField>
    <pivotField dataField="1" subtotalTop="0" showAll="0" defaultSubtotal="0"/>
    <pivotField axis="axisRow" allDrilled="1" subtotalTop="0" showAll="0" dataSourceSort="1" defaultSubtotal="0" defaultAttributeDrillState="1">
      <items count="2">
        <item x="0"/>
        <item x="1"/>
      </items>
    </pivotField>
    <pivotField dataField="1" subtotalTop="0" showAll="0" defaultSubtotal="0"/>
  </pivotFields>
  <rowFields count="2">
    <field x="0"/>
    <field x="2"/>
  </rowFields>
  <rowItems count="4">
    <i>
      <x/>
    </i>
    <i r="1">
      <x/>
    </i>
    <i r="1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Columna5" fld="1" baseField="0" baseItem="0"/>
    <dataField name="Suma de Columna7" fld="3" baseField="0" baseItem="0"/>
  </dataFields>
  <formats count="8">
    <format dxfId="7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0"/>
          </reference>
          <reference field="2" count="0"/>
        </references>
      </pivotArea>
    </format>
    <format dxfId="6">
      <pivotArea collapsedLevelsAreSubtotals="1" fieldPosition="0">
        <references count="2">
          <reference field="4294967294" count="1" selected="0">
            <x v="1"/>
          </reference>
          <reference field="0" count="1">
            <x v="3"/>
          </reference>
        </references>
      </pivotArea>
    </format>
    <format dxfId="5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3"/>
          </reference>
          <reference field="2" count="0"/>
        </references>
      </pivotArea>
    </format>
    <format dxfId="4">
      <pivotArea collapsedLevelsAreSubtotals="1" fieldPosition="0">
        <references count="2">
          <reference field="4294967294" count="1" selected="0">
            <x v="1"/>
          </reference>
          <reference field="0" count="1">
            <x v="2"/>
          </reference>
        </references>
      </pivotArea>
    </format>
    <format dxfId="3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2"/>
          </reference>
          <reference field="2" count="0"/>
        </references>
      </pivotArea>
    </format>
    <format dxfId="2">
      <pivotArea collapsedLevelsAreSubtotals="1" fieldPosition="0">
        <references count="2">
          <reference field="4294967294" count="1" selected="0">
            <x v="1"/>
          </reference>
          <reference field="0" count="1">
            <x v="1"/>
          </reference>
        </references>
      </pivotArea>
    </format>
    <format dxfId="1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1"/>
          </reference>
          <reference field="2" count="0"/>
        </references>
      </pivotArea>
    </format>
    <format dxfId="0">
      <pivotArea field="0" grandRow="1" outline="0" collapsedLevelsAreSubtotals="1" axis="axisRow" fieldPosition="0">
        <references count="1">
          <reference field="4294967294" count="1" selected="0">
            <x v="1"/>
          </reference>
        </references>
      </pivotArea>
    </format>
  </format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3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11"/>
    <rowHierarchyUsage hierarchyUsage="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a2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621B1-B2D0-4BD2-AB7F-A6B70FF9DAE4}" name="TablaDinámica14" cacheId="1" applyNumberFormats="0" applyBorderFormats="0" applyFontFormats="0" applyPatternFormats="0" applyAlignmentFormats="0" applyWidthHeightFormats="1" dataCaption="Valores" tag="9510aab9-0756-4829-be86-d48fe4a498ba" updatedVersion="8" minRefreshableVersion="3" useAutoFormatting="1" subtotalHiddenItems="1" itemPrintTitles="1" createdVersion="5" indent="0" outline="1" outlineData="1" multipleFieldFilters="0">
  <location ref="B3:C7" firstHeaderRow="1" firstDataRow="1" firstDataCol="1"/>
  <pivotFields count="3">
    <pivotField allDrilled="1" subtotalTop="0" showAll="0" dataSourceSort="1" defaultSubtotal="0" defaultAttributeDrillState="1"/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</pivotFields>
  <rowFields count="1">
    <field x="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Recuento de Columna2" fld="2" subtotal="count" baseField="0" baseItem="0"/>
  </dataFields>
  <pivotHierarchies count="3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abla3].[Columna2].&amp;[Camisa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a3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B16A592-4CB5-4588-9464-E118E5F5117C}" name="TablaDinámica39" cacheId="3" applyNumberFormats="0" applyBorderFormats="0" applyFontFormats="0" applyPatternFormats="0" applyAlignmentFormats="0" applyWidthHeightFormats="1" dataCaption="Valores" tag="7f1ecbeb-9cb4-47aa-abab-0f48cf494999" updatedVersion="8" minRefreshableVersion="3" useAutoFormatting="1" subtotalHiddenItems="1" itemPrintTitles="1" createdVersion="5" indent="0" outline="1" outlineData="1" multipleFieldFilters="0" chartFormat="5">
  <location ref="B3:E6" firstHeaderRow="1" firstDataRow="2" firstDataCol="1"/>
  <pivotFields count="3">
    <pivotField axis="axisRow" allDrilled="1" subtotalTop="0" showAll="0" dataSourceSort="1" defaultSubtotal="0" defaultAttributeDrillState="1">
      <items count="2">
        <item s="1" x="0"/>
        <item x="1"/>
      </items>
    </pivotField>
    <pivotField dataField="1" subtotalTop="0" showAll="0" defaultSubtotal="0"/>
    <pivotField axis="axisCol" allDrilled="1" subtotalTop="0" showAll="0" dataSourceSort="1" defaultSubtotal="0" defaultAttributeDrillState="1">
      <items count="2">
        <item x="0"/>
        <item x="1"/>
      </items>
    </pivotField>
  </pivotFields>
  <rowFields count="1">
    <field x="0"/>
  </rowFields>
  <rowItems count="2">
    <i>
      <x/>
    </i>
    <i t="grand">
      <x/>
    </i>
  </rowItems>
  <colFields count="1">
    <field x="2"/>
  </colFields>
  <colItems count="3">
    <i>
      <x/>
    </i>
    <i>
      <x v="1"/>
    </i>
    <i t="grand">
      <x/>
    </i>
  </colItems>
  <dataFields count="1">
    <dataField name="Suma de Columna3" fld="1" baseField="0" baseItem="0"/>
  </dataFields>
  <chartFormats count="8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2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2" count="1" selected="0">
            <x v="1"/>
          </reference>
        </references>
      </pivotArea>
    </chartFormat>
    <chartFormat chart="0" format="3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1"/>
          </reference>
        </references>
      </pivotArea>
    </chartFormat>
    <chartFormat chart="4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4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4" format="10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2" count="1" selected="0">
            <x v="1"/>
          </reference>
        </references>
      </pivotArea>
    </chartFormat>
    <chartFormat chart="4" format="11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1"/>
          </reference>
        </references>
      </pivotArea>
    </chartFormat>
  </chartFormats>
  <pivotHierarchies count="3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9"/>
  </rowHierarchiesUsage>
  <colHierarchiesUsage count="1">
    <colHierarchyUsage hierarchyUsage="5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a2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olumna1" xr10:uid="{1C6DE250-EBA1-4E86-8986-E8B45AE83516}" sourceName="[Tabla1].[Columna1]">
  <pivotTables>
    <pivotTable tabId="3" name="TablaDinámica1"/>
  </pivotTables>
  <data>
    <olap pivotCacheId="1526601373">
      <levels count="2">
        <level uniqueName="[Tabla1].[Columna1].[(All)]" sourceCaption="(All)" count="0"/>
        <level uniqueName="[Tabla1].[Columna1].[Columna1]" sourceCaption="Columna1" count="2">
          <ranges>
            <range startItem="0">
              <i n="[Tabla1].[Columna1].&amp;[Camisa]" c="Camisa"/>
              <i n="[Tabla1].[Columna1].&amp;[Pantalón]" c="Pantalón"/>
            </range>
          </ranges>
        </level>
      </levels>
      <selections count="1">
        <selection n="[Tabla1].[Columna1].&amp;[Camisa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olumna2" xr10:uid="{9FE6D09B-82A9-44E8-8B6C-C7C0F221E61A}" sourceName="[Tabla3].[Columna2]">
  <pivotTables>
    <pivotTable tabId="7" name="TablaDinámica14"/>
  </pivotTables>
  <data>
    <olap pivotCacheId="2101068020">
      <levels count="2">
        <level uniqueName="[Tabla3].[Columna2].[(All)]" sourceCaption="(All)" count="0"/>
        <level uniqueName="[Tabla3].[Columna2].[Columna2]" sourceCaption="Columna2" count="2">
          <ranges>
            <range startItem="0">
              <i n="[Tabla3].[Columna2].&amp;[Camisa]" c="Camisa"/>
              <i n="[Tabla3].[Columna2].&amp;[Pantalón]" c="Pantalón"/>
            </range>
          </ranges>
        </level>
      </levels>
      <selections count="1">
        <selection n="[Tabla3].[Columna2].&amp;[Camisa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olumna1__mes" xr10:uid="{F2704F8C-5877-4C7B-B0D7-CF563FF8613A}" sourceName="[Tabla2].[Columna1 (mes)]">
  <pivotTables>
    <pivotTable tabId="7" name="TablaDinámica27"/>
  </pivotTables>
  <data>
    <olap pivotCacheId="2094724733">
      <levels count="2">
        <level uniqueName="[Tabla2].[Columna1 (mes)].[(All)]" sourceCaption="(All)" count="0"/>
        <level uniqueName="[Tabla2].[Columna1 (mes)].[Columna1 (mes)]" sourceCaption="Columna1 (mes)" count="4">
          <ranges>
            <range startItem="0">
              <i n="[Tabla2].[Columna1 (mes)].&amp;[ago]" c="ago"/>
              <i n="[Tabla2].[Columna1 (mes)].&amp;[sept]" c="sept"/>
              <i n="[Tabla2].[Columna1 (mes)].&amp;[oct]" c="oct"/>
              <i n="[Tabla2].[Columna1 (mes)].&amp;[nov]" c="nov"/>
            </range>
          </ranges>
        </level>
      </levels>
      <selections count="1">
        <selection n="[Tabla2].[Columna1 (mes)].&amp;[ago]"/>
      </selections>
    </olap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olumna6" xr10:uid="{0B39342D-98BF-49FE-99B4-731A8D4C8ADE}" sourceName="[Tabla2].[Columna6]">
  <pivotTables>
    <pivotTable tabId="11" name="TablaDinámica39"/>
  </pivotTables>
  <data>
    <olap pivotCacheId="714206882">
      <levels count="2">
        <level uniqueName="[Tabla2].[Columna6].[(All)]" sourceCaption="(All)" count="0"/>
        <level uniqueName="[Tabla2].[Columna6].[Columna6]" sourceCaption="Columna6" count="2">
          <ranges>
            <range startItem="0">
              <i n="[Tabla2].[Columna6].&amp;[1]" c="1"/>
              <i n="[Tabla2].[Columna6].&amp;[2]" c="2"/>
            </range>
          </ranges>
        </level>
      </levels>
      <selections count="1">
        <selection n="[Tabla2].[Columna6].&amp;[2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olumna1 1" xr10:uid="{8363AD0A-9289-407A-BB39-0250D001E600}" cache="SegmentaciónDeDatos_Columna1" caption="CANTIDAD INVENTARIO " columnCount="2" level="1" style="SlicerStyleDark1" rowHeight="234950"/>
  <slicer name="Columna2 1" xr10:uid="{19ED6A41-1462-478C-9E53-0E4A0D6C6050}" cache="SegmentaciónDeDatos_Columna2" caption="TOTAL VENTAS GENERAL" columnCount="2" level="1" style="SlicerStyleDark1" rowHeight="234950"/>
  <slicer name="Columna1 (mes) 3" xr10:uid="{BEAB19DF-D81D-46F9-A639-2EB7DA334FAB}" cache="SegmentaciónDeDatos_Columna1__mes" caption="VENTA POR MES " columnCount="2" level="1" style="SlicerStyleDark1" rowHeight="234950"/>
  <slicer name="Columna6 1" xr10:uid="{675DE4C4-8DD1-4273-8594-C9AE98754089}" cache="SegmentaciónDeDatos_Columna6" caption="TOTAL DE CAJA" columnCount="2" level="1" style="SlicerStyleDark1" rowHeight="2349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olumna1" xr10:uid="{6A2AFEB3-5AC5-4335-8DEA-2F1D49560AAE}" cache="SegmentaciónDeDatos_Columna1" caption="CANTIDAD INVENTARIO " level="1" style="SlicerStyleLight1" rowHeight="23495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olumna2" xr10:uid="{7F6B3B8B-7872-44DD-A557-2AA71376726A}" cache="SegmentaciónDeDatos_Columna2" caption="TOTAL VENTAS GENERAL" level="1" style="SlicerStyleLight1" rowHeight="234950"/>
  <slicer name="Columna1 (mes)" xr10:uid="{86C521F9-4D23-42D6-B14E-52BD8BAC0F44}" cache="SegmentaciónDeDatos_Columna1__mes" caption="Columna1 (mes)" level="1" style="SlicerStyleLight1" rowHeight="23495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olumna6" xr10:uid="{BE296691-D67D-4FBC-BA27-98A77EB885A9}" cache="SegmentaciónDeDatos_Columna6" caption="TOTAL DE CAJA" level="1" style="SlicerStyleDark1" rowHeight="2349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FB4AADE-B693-4F4E-AC31-BD56BF485737}" name="Tabla1" displayName="Tabla1" ref="A1:D46" totalsRowShown="0">
  <autoFilter ref="A1:D46" xr:uid="{EFB4AADE-B693-4F4E-AC31-BD56BF485737}"/>
  <tableColumns count="4">
    <tableColumn id="1" xr3:uid="{F92DB0B6-AA5D-4215-A968-D10FB67CF753}" name="Columna1"/>
    <tableColumn id="2" xr3:uid="{889D51B7-247B-4B73-85F1-9350FF671E36}" name="Columna2"/>
    <tableColumn id="3" xr3:uid="{2AFB6845-EC62-40D4-AA25-1409EC17EFAA}" name="Columna3" dataDxfId="17"/>
    <tableColumn id="4" xr3:uid="{7EBD345D-160B-48D7-B418-D93CB67BAD35}" name="Columna4" dataDxfId="16" dataCellStyle="Moned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88295BF-EA24-4BCD-BEA1-C6F754550596}" name="Tabla2" displayName="Tabla2" ref="A1:G103" totalsRowShown="0" headerRowDxfId="15" dataDxfId="14">
  <autoFilter ref="A1:G103" xr:uid="{D88295BF-EA24-4BCD-BEA1-C6F754550596}"/>
  <tableColumns count="7">
    <tableColumn id="1" xr3:uid="{845596D1-8A01-4609-99DB-7351554E684B}" name="Columna1" dataDxfId="13"/>
    <tableColumn id="2" xr3:uid="{B1864663-ABF6-4874-9CB6-7BB582A8B628}" name="Columna2" dataDxfId="12"/>
    <tableColumn id="3" xr3:uid="{13983B52-442F-4DB8-814D-B4646FFB4B4B}" name="Columna3" dataDxfId="11" dataCellStyle="Moneda"/>
    <tableColumn id="4" xr3:uid="{63F06949-7A6E-42F9-BEB7-E1735EB21444}" name="Columna4" dataDxfId="10"/>
    <tableColumn id="5" xr3:uid="{A4F42345-C6D5-4110-BB91-45989A5A4FB6}" name="Columna5" dataDxfId="9"/>
    <tableColumn id="6" xr3:uid="{AD648734-CBBA-4913-B32D-A65433DD1EF2}" name="Columna6" dataDxfId="8"/>
    <tableColumn id="7" xr3:uid="{8CB53C97-052E-443D-9E5A-3F5B8D04E28B}" name="Columna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88E7A9-F65E-4781-91BA-4EDDC80095F6}" name="Tabla3" displayName="Tabla3" ref="A1:E103" totalsRowShown="0">
  <autoFilter ref="A1:E103" xr:uid="{A788E7A9-F65E-4781-91BA-4EDDC80095F6}"/>
  <tableColumns count="5">
    <tableColumn id="1" xr3:uid="{71FDA25D-CA11-4B9C-A2F7-A3B5890D73A6}" name="Columna1"/>
    <tableColumn id="2" xr3:uid="{18C942F9-D221-4904-8390-95B67523EAD3}" name="Columna2"/>
    <tableColumn id="3" xr3:uid="{0805A960-E242-4649-931A-0D24FFE8FF9A}" name="Columna3"/>
    <tableColumn id="4" xr3:uid="{AFD82262-1586-43FA-BCEA-8234D5D2C82E}" name="Columna4"/>
    <tableColumn id="5" xr3:uid="{4250F6FA-EDD0-4916-A029-587831E35229}" name="Columna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tables/table1.xml" Type="http://schemas.openxmlformats.org/officeDocument/2006/relationships/table"/></Relationships>
</file>

<file path=xl/worksheets/_rels/sheet2.xml.rels><?xml version="1.0" encoding="UTF-8" standalone="no"?><Relationships xmlns="http://schemas.openxmlformats.org/package/2006/relationships"><Relationship Id="rId1" Target="../tables/table2.xml" Type="http://schemas.openxmlformats.org/officeDocument/2006/relationships/table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Relationship Id="rId3" Target="../slicers/slicer1.xml" Type="http://schemas.microsoft.com/office/2007/relationships/slicer"/></Relationships>
</file>

<file path=xl/worksheets/_rels/sheet5.xml.rels><?xml version="1.0" encoding="UTF-8" standalone="no"?><Relationships xmlns="http://schemas.openxmlformats.org/package/2006/relationships"><Relationship Id="rId1" Target="../pivotTables/pivotTable1.xml" Type="http://schemas.openxmlformats.org/officeDocument/2006/relationships/pivotTable"/><Relationship Id="rId2" Target="../drawings/drawing2.xml" Type="http://schemas.openxmlformats.org/officeDocument/2006/relationships/drawing"/><Relationship Id="rId3" Target="../slicers/slicer2.xml" Type="http://schemas.microsoft.com/office/2007/relationships/slicer"/></Relationships>
</file>

<file path=xl/worksheets/_rels/sheet6.xml.rels><?xml version="1.0" encoding="UTF-8" standalone="no"?><Relationships xmlns="http://schemas.openxmlformats.org/package/2006/relationships"><Relationship Id="rId1" Target="../tables/table3.xml" Type="http://schemas.openxmlformats.org/officeDocument/2006/relationships/table"/></Relationships>
</file>

<file path=xl/worksheets/_rels/sheet7.xml.rels><?xml version="1.0" encoding="UTF-8" standalone="no"?><Relationships xmlns="http://schemas.openxmlformats.org/package/2006/relationships"><Relationship Id="rId1" Target="../pivotTables/pivotTable2.xml" Type="http://schemas.openxmlformats.org/officeDocument/2006/relationships/pivotTable"/><Relationship Id="rId2" Target="../pivotTables/pivotTable3.xml" Type="http://schemas.openxmlformats.org/officeDocument/2006/relationships/pivotTable"/><Relationship Id="rId3" Target="../drawings/drawing3.xml" Type="http://schemas.openxmlformats.org/officeDocument/2006/relationships/drawing"/><Relationship Id="rId4" Target="../slicers/slicer3.xml" Type="http://schemas.microsoft.com/office/2007/relationships/slicer"/></Relationships>
</file>

<file path=xl/worksheets/_rels/sheet8.xml.rels><?xml version="1.0" encoding="UTF-8" standalone="no"?><Relationships xmlns="http://schemas.openxmlformats.org/package/2006/relationships"><Relationship Id="rId1" Target="../pivotTables/pivotTable4.xml" Type="http://schemas.openxmlformats.org/officeDocument/2006/relationships/pivotTable"/><Relationship Id="rId2" Target="../drawings/drawing4.xml" Type="http://schemas.openxmlformats.org/officeDocument/2006/relationships/drawing"/><Relationship Id="rId3" Target="../slicers/slicer4.xml" Type="http://schemas.microsoft.com/office/2007/relationships/slicer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AF801-8C93-4134-9EA0-92E98CF1D78C}">
  <sheetPr codeName="Hoja1"/>
  <dimension ref="A1:D94"/>
  <sheetViews>
    <sheetView topLeftCell="A113" workbookViewId="0">
      <selection activeCell="G27" sqref="G27"/>
    </sheetView>
  </sheetViews>
  <sheetFormatPr baseColWidth="10" defaultRowHeight="15" x14ac:dyDescent="0.25"/>
  <cols>
    <col min="2" max="2" customWidth="true" width="11.42578125" collapsed="true"/>
    <col min="3" max="3" style="2" width="11.42578125" collapsed="true"/>
    <col min="4" max="4" bestFit="true" customWidth="true" style="3" width="15.28515625" collapsed="true"/>
    <col min="5" max="5" style="1" width="11.42578125" collapsed="false"/>
  </cols>
  <sheetData>
    <row r="1" spans="1:4" x14ac:dyDescent="0.25">
      <c r="A1" t="s">
        <v>9</v>
      </c>
      <c r="B1" t="s">
        <v>10</v>
      </c>
      <c r="C1" s="2" t="s">
        <v>11</v>
      </c>
      <c r="D1" s="3" t="s">
        <v>12</v>
      </c>
    </row>
    <row r="2" spans="1:4" x14ac:dyDescent="0.25">
      <c r="A2" t="s">
        <v>0</v>
      </c>
      <c r="B2" t="s">
        <v>2</v>
      </c>
      <c r="C2" s="2">
        <v>101</v>
      </c>
      <c r="D2" s="3">
        <v>20000</v>
      </c>
    </row>
    <row r="3" spans="1:4" x14ac:dyDescent="0.25">
      <c r="A3" t="s">
        <v>1</v>
      </c>
      <c r="B3" t="s">
        <v>3</v>
      </c>
      <c r="C3" s="2">
        <v>202</v>
      </c>
      <c r="D3" s="3">
        <v>45000</v>
      </c>
    </row>
    <row r="4" spans="1:4" x14ac:dyDescent="0.25">
      <c r="A4" t="s">
        <v>1</v>
      </c>
      <c r="B4" t="s">
        <v>4</v>
      </c>
      <c r="C4" s="2">
        <v>303</v>
      </c>
      <c r="D4" s="3">
        <v>45000</v>
      </c>
    </row>
    <row r="5" spans="1:4" x14ac:dyDescent="0.25">
      <c r="A5" t="s">
        <v>0</v>
      </c>
      <c r="B5" t="s">
        <v>5</v>
      </c>
      <c r="C5" s="2">
        <v>404</v>
      </c>
      <c r="D5" s="3">
        <v>15000</v>
      </c>
    </row>
    <row r="6" spans="1:4" x14ac:dyDescent="0.25">
      <c r="A6" t="s">
        <v>1</v>
      </c>
      <c r="B6" t="s">
        <v>4</v>
      </c>
      <c r="C6" s="2">
        <v>505</v>
      </c>
      <c r="D6" s="3">
        <v>65000</v>
      </c>
    </row>
    <row r="7" spans="1:4" x14ac:dyDescent="0.25">
      <c r="A7" t="s">
        <v>1</v>
      </c>
      <c r="B7" t="s">
        <v>3</v>
      </c>
      <c r="C7" s="2">
        <v>606</v>
      </c>
      <c r="D7" s="3">
        <v>45000</v>
      </c>
    </row>
    <row r="8" spans="1:4" x14ac:dyDescent="0.25">
      <c r="A8" t="s">
        <v>1</v>
      </c>
      <c r="B8" t="s">
        <v>3</v>
      </c>
      <c r="C8" s="2">
        <v>707</v>
      </c>
      <c r="D8" s="3">
        <v>65000</v>
      </c>
    </row>
    <row r="9" spans="1:4" x14ac:dyDescent="0.25">
      <c r="A9" t="s">
        <v>1</v>
      </c>
      <c r="B9" t="s">
        <v>6</v>
      </c>
      <c r="C9" s="2">
        <v>808</v>
      </c>
      <c r="D9" s="3">
        <v>45000</v>
      </c>
    </row>
    <row r="10" spans="1:4" x14ac:dyDescent="0.25">
      <c r="A10" t="s">
        <v>0</v>
      </c>
      <c r="B10" t="s">
        <v>2</v>
      </c>
      <c r="C10" s="2">
        <v>909</v>
      </c>
      <c r="D10" s="3">
        <v>20000</v>
      </c>
    </row>
    <row r="11" spans="1:4" x14ac:dyDescent="0.25">
      <c r="A11" t="s">
        <v>1</v>
      </c>
      <c r="B11" t="s">
        <v>3</v>
      </c>
      <c r="C11" s="2">
        <v>111</v>
      </c>
      <c r="D11" s="3">
        <v>45000</v>
      </c>
    </row>
    <row r="12" spans="1:4" x14ac:dyDescent="0.25">
      <c r="A12" t="s">
        <v>0</v>
      </c>
      <c r="B12" t="s">
        <v>7</v>
      </c>
      <c r="C12" s="2">
        <v>222</v>
      </c>
      <c r="D12" s="3">
        <v>15000</v>
      </c>
    </row>
    <row r="13" spans="1:4" x14ac:dyDescent="0.25">
      <c r="A13" t="s">
        <v>1</v>
      </c>
      <c r="B13" t="s">
        <v>3</v>
      </c>
      <c r="C13" s="2">
        <v>333</v>
      </c>
      <c r="D13" s="3">
        <v>65000</v>
      </c>
    </row>
    <row r="14" spans="1:4" x14ac:dyDescent="0.25">
      <c r="A14" t="s">
        <v>0</v>
      </c>
      <c r="B14" t="s">
        <v>5</v>
      </c>
      <c r="C14" s="2">
        <v>444</v>
      </c>
      <c r="D14" s="3">
        <v>15000</v>
      </c>
    </row>
    <row r="15" spans="1:4" x14ac:dyDescent="0.25">
      <c r="A15" t="s">
        <v>0</v>
      </c>
      <c r="B15" t="s">
        <v>5</v>
      </c>
      <c r="C15" s="2">
        <v>555</v>
      </c>
      <c r="D15" s="3">
        <v>20000</v>
      </c>
    </row>
    <row r="16" spans="1:4" x14ac:dyDescent="0.25">
      <c r="A16" t="s">
        <v>1</v>
      </c>
      <c r="B16" t="s">
        <v>3</v>
      </c>
      <c r="C16" s="2">
        <v>666</v>
      </c>
      <c r="D16" s="3">
        <v>65000</v>
      </c>
    </row>
    <row r="17" spans="1:4" x14ac:dyDescent="0.25">
      <c r="A17" t="s">
        <v>0</v>
      </c>
      <c r="B17" t="s">
        <v>2</v>
      </c>
      <c r="C17" s="2">
        <v>777</v>
      </c>
      <c r="D17" s="3">
        <v>15000</v>
      </c>
    </row>
    <row r="18" spans="1:4" x14ac:dyDescent="0.25">
      <c r="A18" t="s">
        <v>1</v>
      </c>
      <c r="B18" t="s">
        <v>6</v>
      </c>
      <c r="C18" s="2">
        <v>888</v>
      </c>
      <c r="D18" s="3">
        <v>65000</v>
      </c>
    </row>
    <row r="19" spans="1:4" x14ac:dyDescent="0.25">
      <c r="A19" t="s">
        <v>0</v>
      </c>
      <c r="B19" t="s">
        <v>5</v>
      </c>
      <c r="C19" s="2">
        <v>999</v>
      </c>
      <c r="D19" s="3">
        <v>15000</v>
      </c>
    </row>
    <row r="20" spans="1:4" x14ac:dyDescent="0.25">
      <c r="A20" t="s">
        <v>0</v>
      </c>
      <c r="B20" t="s">
        <v>7</v>
      </c>
      <c r="C20" s="2">
        <v>123</v>
      </c>
      <c r="D20" s="3">
        <v>20000</v>
      </c>
    </row>
    <row r="21" spans="1:4" x14ac:dyDescent="0.25">
      <c r="A21" t="s">
        <v>1</v>
      </c>
      <c r="B21" t="s">
        <v>3</v>
      </c>
      <c r="C21" s="2">
        <v>456</v>
      </c>
      <c r="D21" s="3">
        <v>45000</v>
      </c>
    </row>
    <row r="22" spans="1:4" x14ac:dyDescent="0.25">
      <c r="A22" t="s">
        <v>1</v>
      </c>
      <c r="B22" t="s">
        <v>6</v>
      </c>
      <c r="C22" s="2">
        <v>789</v>
      </c>
      <c r="D22" s="3">
        <v>65000</v>
      </c>
    </row>
    <row r="23" spans="1:4" x14ac:dyDescent="0.25">
      <c r="A23" t="s">
        <v>0</v>
      </c>
      <c r="B23" t="s">
        <v>2</v>
      </c>
      <c r="C23" s="2">
        <v>321</v>
      </c>
      <c r="D23" s="3">
        <v>20000</v>
      </c>
    </row>
    <row r="24" spans="1:4" x14ac:dyDescent="0.25">
      <c r="A24" t="s">
        <v>0</v>
      </c>
      <c r="B24" t="s">
        <v>2</v>
      </c>
      <c r="C24" s="2">
        <v>654</v>
      </c>
      <c r="D24" s="3">
        <v>15000</v>
      </c>
    </row>
    <row r="25" spans="1:4" x14ac:dyDescent="0.25">
      <c r="A25" t="s">
        <v>0</v>
      </c>
      <c r="B25" t="s">
        <v>2</v>
      </c>
      <c r="C25" s="2">
        <v>987</v>
      </c>
      <c r="D25" s="3">
        <v>15000</v>
      </c>
    </row>
    <row r="26" spans="1:4" x14ac:dyDescent="0.25">
      <c r="A26" t="s">
        <v>1</v>
      </c>
      <c r="B26" t="s">
        <v>6</v>
      </c>
      <c r="C26" s="2">
        <v>135</v>
      </c>
      <c r="D26" s="3">
        <v>45000</v>
      </c>
    </row>
    <row r="27" spans="1:4" x14ac:dyDescent="0.25">
      <c r="A27" t="s">
        <v>0</v>
      </c>
      <c r="B27" t="s">
        <v>5</v>
      </c>
      <c r="C27" s="2">
        <v>246</v>
      </c>
      <c r="D27" s="3">
        <v>20000</v>
      </c>
    </row>
    <row r="28" spans="1:4" x14ac:dyDescent="0.25">
      <c r="A28" t="s">
        <v>0</v>
      </c>
      <c r="B28" t="s">
        <v>7</v>
      </c>
      <c r="C28" s="2">
        <v>579</v>
      </c>
      <c r="D28" s="3">
        <v>15000</v>
      </c>
    </row>
    <row r="29" spans="1:4" x14ac:dyDescent="0.25">
      <c r="A29" t="s">
        <v>1</v>
      </c>
      <c r="B29" t="s">
        <v>3</v>
      </c>
      <c r="C29" s="2">
        <v>864</v>
      </c>
      <c r="D29" s="3">
        <v>45000</v>
      </c>
    </row>
    <row r="30" spans="1:4" x14ac:dyDescent="0.25">
      <c r="A30" t="s">
        <v>1</v>
      </c>
      <c r="B30" t="s">
        <v>6</v>
      </c>
      <c r="C30" s="2">
        <v>198</v>
      </c>
      <c r="D30" s="3">
        <v>65000</v>
      </c>
    </row>
    <row r="31" spans="1:4" x14ac:dyDescent="0.25">
      <c r="A31" t="s">
        <v>1</v>
      </c>
      <c r="B31" t="s">
        <v>6</v>
      </c>
      <c r="C31" s="2">
        <v>1111</v>
      </c>
      <c r="D31" s="3">
        <v>65000</v>
      </c>
    </row>
    <row r="32" spans="1:4" x14ac:dyDescent="0.25">
      <c r="A32" t="s">
        <v>1</v>
      </c>
      <c r="B32" t="s">
        <v>3</v>
      </c>
      <c r="C32" s="2">
        <v>2222</v>
      </c>
      <c r="D32" s="3">
        <v>45000</v>
      </c>
    </row>
    <row r="33" spans="1:4" x14ac:dyDescent="0.25">
      <c r="A33" t="s">
        <v>0</v>
      </c>
      <c r="B33" t="s">
        <v>5</v>
      </c>
      <c r="C33" s="2">
        <v>3333</v>
      </c>
      <c r="D33" s="3">
        <v>15000</v>
      </c>
    </row>
    <row r="34" spans="1:4" x14ac:dyDescent="0.25">
      <c r="A34" t="s">
        <v>0</v>
      </c>
      <c r="B34" t="s">
        <v>5</v>
      </c>
      <c r="C34" s="2">
        <v>4444</v>
      </c>
      <c r="D34" s="3">
        <v>20000</v>
      </c>
    </row>
    <row r="35" spans="1:4" x14ac:dyDescent="0.25">
      <c r="A35" t="s">
        <v>1</v>
      </c>
      <c r="B35" t="s">
        <v>3</v>
      </c>
      <c r="C35" s="2">
        <v>5555</v>
      </c>
      <c r="D35" s="3">
        <v>45000</v>
      </c>
    </row>
    <row r="36" spans="1:4" x14ac:dyDescent="0.25">
      <c r="A36" t="s">
        <v>1</v>
      </c>
      <c r="B36" t="s">
        <v>6</v>
      </c>
      <c r="C36" s="2">
        <v>6666</v>
      </c>
      <c r="D36" s="3">
        <v>45000</v>
      </c>
    </row>
    <row r="37" spans="1:4" x14ac:dyDescent="0.25">
      <c r="A37" t="s">
        <v>0</v>
      </c>
      <c r="B37" t="s">
        <v>2</v>
      </c>
      <c r="C37" s="2">
        <v>7777</v>
      </c>
      <c r="D37" s="3">
        <v>20000</v>
      </c>
    </row>
    <row r="38" spans="1:4" x14ac:dyDescent="0.25">
      <c r="A38" t="s">
        <v>1</v>
      </c>
      <c r="B38" t="s">
        <v>6</v>
      </c>
      <c r="C38" s="2">
        <v>8888</v>
      </c>
      <c r="D38" s="3">
        <v>65000</v>
      </c>
    </row>
    <row r="39" spans="1:4" x14ac:dyDescent="0.25">
      <c r="A39" t="s">
        <v>0</v>
      </c>
      <c r="B39" t="s">
        <v>2</v>
      </c>
      <c r="C39" s="2">
        <v>9999</v>
      </c>
      <c r="D39" s="3">
        <v>15000</v>
      </c>
    </row>
    <row r="40" spans="1:4" x14ac:dyDescent="0.25">
      <c r="A40" t="s">
        <v>0</v>
      </c>
      <c r="B40" t="s">
        <v>5</v>
      </c>
      <c r="C40" s="2">
        <v>5432</v>
      </c>
      <c r="D40" s="3">
        <v>20000</v>
      </c>
    </row>
    <row r="41" spans="1:4" x14ac:dyDescent="0.25">
      <c r="A41" t="s">
        <v>0</v>
      </c>
      <c r="B41" t="s">
        <v>2</v>
      </c>
      <c r="C41" s="2">
        <v>9876</v>
      </c>
      <c r="D41" s="3">
        <v>15000</v>
      </c>
    </row>
    <row r="42" spans="1:4" x14ac:dyDescent="0.25">
      <c r="A42" t="s">
        <v>1</v>
      </c>
      <c r="B42" t="s">
        <v>3</v>
      </c>
      <c r="C42" s="2">
        <v>2468</v>
      </c>
      <c r="D42" s="3">
        <v>65000</v>
      </c>
    </row>
    <row r="43" spans="1:4" x14ac:dyDescent="0.25">
      <c r="A43" t="s">
        <v>0</v>
      </c>
      <c r="B43" t="s">
        <v>2</v>
      </c>
      <c r="C43" s="2">
        <v>1357</v>
      </c>
      <c r="D43" s="3">
        <v>15000</v>
      </c>
    </row>
    <row r="44" spans="1:4" x14ac:dyDescent="0.25">
      <c r="A44" t="s">
        <v>0</v>
      </c>
      <c r="B44" t="s">
        <v>2</v>
      </c>
      <c r="C44" s="2">
        <v>8642</v>
      </c>
      <c r="D44" s="3">
        <v>15000</v>
      </c>
    </row>
    <row r="45" spans="1:4" x14ac:dyDescent="0.25">
      <c r="A45" t="s">
        <v>0</v>
      </c>
      <c r="B45" t="s">
        <v>2</v>
      </c>
      <c r="C45" s="2">
        <v>7890</v>
      </c>
      <c r="D45" s="3">
        <v>20000</v>
      </c>
    </row>
    <row r="46" spans="1:4" x14ac:dyDescent="0.25">
      <c r="A46" t="s">
        <v>0</v>
      </c>
      <c r="B46" t="s">
        <v>2</v>
      </c>
      <c r="C46" s="2">
        <v>5432</v>
      </c>
      <c r="D46" s="3">
        <v>20000</v>
      </c>
    </row>
    <row r="47" spans="1:4" x14ac:dyDescent="0.25">
      <c r="A47" t="s">
        <v>1</v>
      </c>
      <c r="B47" t="s">
        <v>6</v>
      </c>
      <c r="C47" s="2">
        <v>3579</v>
      </c>
      <c r="D47" s="3">
        <v>65000</v>
      </c>
    </row>
    <row r="48" spans="1:4" x14ac:dyDescent="0.25">
      <c r="A48" t="s">
        <v>1</v>
      </c>
      <c r="B48" t="s">
        <v>6</v>
      </c>
      <c r="C48" s="2">
        <v>4680</v>
      </c>
      <c r="D48" s="3">
        <v>65000</v>
      </c>
    </row>
    <row r="49" spans="1:4" x14ac:dyDescent="0.25">
      <c r="A49" t="s">
        <v>1</v>
      </c>
      <c r="B49" t="s">
        <v>3</v>
      </c>
      <c r="C49" s="2">
        <v>6543</v>
      </c>
      <c r="D49" s="3">
        <v>45000</v>
      </c>
    </row>
    <row r="50" spans="1:4" x14ac:dyDescent="0.25">
      <c r="A50" t="s">
        <v>0</v>
      </c>
      <c r="B50" t="s">
        <v>7</v>
      </c>
      <c r="C50" s="2">
        <v>7891</v>
      </c>
      <c r="D50" s="3">
        <v>15000</v>
      </c>
    </row>
    <row r="51" spans="1:4" x14ac:dyDescent="0.25">
      <c r="A51" t="s">
        <v>0</v>
      </c>
      <c r="B51" t="s">
        <v>7</v>
      </c>
      <c r="C51" s="2">
        <v>1234</v>
      </c>
      <c r="D51" s="3">
        <v>15000</v>
      </c>
    </row>
    <row r="52" spans="1:4" x14ac:dyDescent="0.25">
      <c r="A52" t="s">
        <v>1</v>
      </c>
      <c r="B52" t="s">
        <v>4</v>
      </c>
      <c r="C52" s="2">
        <v>5678</v>
      </c>
      <c r="D52" s="3">
        <v>45000</v>
      </c>
    </row>
    <row r="53" spans="1:4" x14ac:dyDescent="0.25">
      <c r="A53" t="s">
        <v>1</v>
      </c>
      <c r="B53" t="s">
        <v>4</v>
      </c>
      <c r="C53" s="2">
        <v>4321</v>
      </c>
      <c r="D53" s="3">
        <v>45000</v>
      </c>
    </row>
    <row r="54" spans="1:4" x14ac:dyDescent="0.25">
      <c r="A54" t="s">
        <v>1</v>
      </c>
      <c r="B54" t="s">
        <v>4</v>
      </c>
      <c r="C54" s="2">
        <v>8765</v>
      </c>
      <c r="D54" s="3">
        <v>45000</v>
      </c>
    </row>
    <row r="55" spans="1:4" x14ac:dyDescent="0.25">
      <c r="A55" t="s">
        <v>1</v>
      </c>
      <c r="B55" t="s">
        <v>3</v>
      </c>
      <c r="C55" s="2">
        <v>9517</v>
      </c>
      <c r="D55" s="3">
        <v>65000</v>
      </c>
    </row>
    <row r="56" spans="1:4" x14ac:dyDescent="0.25">
      <c r="A56" t="s">
        <v>1</v>
      </c>
      <c r="B56" t="s">
        <v>4</v>
      </c>
      <c r="C56" s="2">
        <v>8640</v>
      </c>
      <c r="D56" s="3">
        <v>45000</v>
      </c>
    </row>
    <row r="57" spans="1:4" x14ac:dyDescent="0.25">
      <c r="A57" t="s">
        <v>1</v>
      </c>
      <c r="B57" t="s">
        <v>4</v>
      </c>
      <c r="C57" s="2">
        <v>2468</v>
      </c>
      <c r="D57" s="3">
        <v>45000</v>
      </c>
    </row>
    <row r="58" spans="1:4" x14ac:dyDescent="0.25">
      <c r="A58" t="s">
        <v>1</v>
      </c>
      <c r="B58" t="s">
        <v>6</v>
      </c>
      <c r="C58" s="2">
        <v>3572</v>
      </c>
      <c r="D58" s="3">
        <v>65000</v>
      </c>
    </row>
    <row r="59" spans="1:4" x14ac:dyDescent="0.25">
      <c r="A59" t="s">
        <v>0</v>
      </c>
      <c r="B59" t="s">
        <v>2</v>
      </c>
      <c r="C59" s="2">
        <v>8021</v>
      </c>
      <c r="D59" s="3">
        <v>20000</v>
      </c>
    </row>
    <row r="60" spans="1:4" x14ac:dyDescent="0.25">
      <c r="A60" t="s">
        <v>1</v>
      </c>
      <c r="B60" t="s">
        <v>4</v>
      </c>
      <c r="C60" s="2">
        <v>5467</v>
      </c>
      <c r="D60" s="3">
        <v>65000</v>
      </c>
    </row>
    <row r="61" spans="1:4" x14ac:dyDescent="0.25">
      <c r="A61" t="s">
        <v>0</v>
      </c>
      <c r="B61" t="s">
        <v>5</v>
      </c>
      <c r="C61" s="2">
        <v>9385</v>
      </c>
      <c r="D61" s="3">
        <v>15000</v>
      </c>
    </row>
    <row r="62" spans="1:4" x14ac:dyDescent="0.25">
      <c r="A62" t="s">
        <v>1</v>
      </c>
      <c r="B62" t="s">
        <v>4</v>
      </c>
      <c r="C62" s="2">
        <v>2917</v>
      </c>
      <c r="D62" s="3">
        <v>45000</v>
      </c>
    </row>
    <row r="63" spans="1:4" x14ac:dyDescent="0.25">
      <c r="A63" t="s">
        <v>1</v>
      </c>
      <c r="B63" t="s">
        <v>6</v>
      </c>
      <c r="C63" s="2">
        <v>6134</v>
      </c>
      <c r="D63" s="3">
        <v>65000</v>
      </c>
    </row>
    <row r="64" spans="1:4" x14ac:dyDescent="0.25">
      <c r="A64" t="s">
        <v>0</v>
      </c>
      <c r="B64" t="s">
        <v>7</v>
      </c>
      <c r="C64" s="2">
        <v>7893</v>
      </c>
      <c r="D64" s="3">
        <v>15000</v>
      </c>
    </row>
    <row r="65" spans="1:4" x14ac:dyDescent="0.25">
      <c r="A65" t="s">
        <v>0</v>
      </c>
      <c r="B65" t="s">
        <v>2</v>
      </c>
      <c r="C65" s="2">
        <v>4076</v>
      </c>
      <c r="D65" s="3">
        <v>20000</v>
      </c>
    </row>
    <row r="66" spans="1:4" x14ac:dyDescent="0.25">
      <c r="A66" t="s">
        <v>1</v>
      </c>
      <c r="B66" t="s">
        <v>3</v>
      </c>
      <c r="C66" s="2">
        <v>5820</v>
      </c>
      <c r="D66" s="3">
        <v>65000</v>
      </c>
    </row>
    <row r="67" spans="1:4" x14ac:dyDescent="0.25">
      <c r="A67" t="s">
        <v>0</v>
      </c>
      <c r="B67" t="s">
        <v>2</v>
      </c>
      <c r="C67" s="2">
        <v>3654</v>
      </c>
      <c r="D67" s="3">
        <v>20000</v>
      </c>
    </row>
    <row r="68" spans="1:4" x14ac:dyDescent="0.25">
      <c r="A68" t="s">
        <v>1</v>
      </c>
      <c r="B68" t="s">
        <v>4</v>
      </c>
      <c r="C68" s="2">
        <v>2086</v>
      </c>
      <c r="D68" s="3">
        <v>65000</v>
      </c>
    </row>
    <row r="69" spans="1:4" x14ac:dyDescent="0.25">
      <c r="A69" t="s">
        <v>0</v>
      </c>
      <c r="B69" t="s">
        <v>8</v>
      </c>
      <c r="C69" s="2">
        <v>4321</v>
      </c>
      <c r="D69" s="3">
        <v>15000</v>
      </c>
    </row>
    <row r="70" spans="1:4" x14ac:dyDescent="0.25">
      <c r="A70" t="s">
        <v>0</v>
      </c>
      <c r="B70" t="s">
        <v>2</v>
      </c>
      <c r="C70" s="2">
        <v>6789</v>
      </c>
      <c r="D70" s="3">
        <v>15000</v>
      </c>
    </row>
    <row r="71" spans="1:4" x14ac:dyDescent="0.25">
      <c r="A71" t="s">
        <v>0</v>
      </c>
      <c r="B71" t="s">
        <v>7</v>
      </c>
      <c r="C71" s="2">
        <v>9012</v>
      </c>
      <c r="D71" s="3">
        <v>15000</v>
      </c>
    </row>
    <row r="72" spans="1:4" x14ac:dyDescent="0.25">
      <c r="A72" t="s">
        <v>1</v>
      </c>
      <c r="B72" t="s">
        <v>3</v>
      </c>
      <c r="C72" s="2">
        <v>5432</v>
      </c>
      <c r="D72" s="3">
        <v>45000</v>
      </c>
    </row>
    <row r="73" spans="1:4" x14ac:dyDescent="0.25">
      <c r="A73" t="s">
        <v>0</v>
      </c>
      <c r="B73" t="s">
        <v>2</v>
      </c>
      <c r="C73" s="2">
        <v>7654</v>
      </c>
      <c r="D73" s="3">
        <v>15000</v>
      </c>
    </row>
    <row r="74" spans="1:4" x14ac:dyDescent="0.25">
      <c r="A74" t="s">
        <v>1</v>
      </c>
      <c r="B74" t="s">
        <v>6</v>
      </c>
      <c r="C74" s="2">
        <v>1234</v>
      </c>
      <c r="D74" s="3">
        <v>45000</v>
      </c>
    </row>
    <row r="75" spans="1:4" x14ac:dyDescent="0.25">
      <c r="A75" t="s">
        <v>0</v>
      </c>
      <c r="B75" t="s">
        <v>7</v>
      </c>
      <c r="C75" s="2">
        <v>8765</v>
      </c>
      <c r="D75" s="3">
        <v>20000</v>
      </c>
    </row>
    <row r="76" spans="1:4" x14ac:dyDescent="0.25">
      <c r="A76" t="s">
        <v>1</v>
      </c>
      <c r="B76" t="s">
        <v>6</v>
      </c>
      <c r="C76" s="2">
        <v>2345</v>
      </c>
      <c r="D76" s="3">
        <v>65000</v>
      </c>
    </row>
    <row r="77" spans="1:4" x14ac:dyDescent="0.25">
      <c r="A77" t="s">
        <v>1</v>
      </c>
      <c r="B77" t="s">
        <v>6</v>
      </c>
      <c r="C77" s="2">
        <v>7890</v>
      </c>
      <c r="D77" s="3">
        <v>65000</v>
      </c>
    </row>
    <row r="78" spans="1:4" x14ac:dyDescent="0.25">
      <c r="A78" t="s">
        <v>0</v>
      </c>
      <c r="B78" t="s">
        <v>5</v>
      </c>
      <c r="C78" s="2">
        <v>5678</v>
      </c>
      <c r="D78" s="3">
        <v>20000</v>
      </c>
    </row>
    <row r="79" spans="1:4" x14ac:dyDescent="0.25">
      <c r="A79" t="s">
        <v>0</v>
      </c>
      <c r="B79" t="s">
        <v>5</v>
      </c>
      <c r="C79" s="2">
        <v>4567</v>
      </c>
      <c r="D79" s="3">
        <v>20000</v>
      </c>
    </row>
    <row r="80" spans="1:4" x14ac:dyDescent="0.25">
      <c r="A80" t="s">
        <v>1</v>
      </c>
      <c r="B80" t="s">
        <v>3</v>
      </c>
      <c r="C80" s="2">
        <v>8901</v>
      </c>
      <c r="D80" s="3">
        <v>45000</v>
      </c>
    </row>
    <row r="81" spans="1:4" x14ac:dyDescent="0.25">
      <c r="A81" t="s">
        <v>1</v>
      </c>
      <c r="B81" t="s">
        <v>4</v>
      </c>
      <c r="C81" s="2">
        <v>3456</v>
      </c>
      <c r="D81" s="3">
        <v>65000</v>
      </c>
    </row>
    <row r="82" spans="1:4" x14ac:dyDescent="0.25">
      <c r="A82" t="s">
        <v>0</v>
      </c>
      <c r="B82" t="s">
        <v>7</v>
      </c>
      <c r="C82" s="2">
        <v>6543</v>
      </c>
      <c r="D82" s="3">
        <v>15000</v>
      </c>
    </row>
    <row r="83" spans="1:4" x14ac:dyDescent="0.25">
      <c r="A83" t="s">
        <v>0</v>
      </c>
      <c r="B83" t="s">
        <v>2</v>
      </c>
      <c r="C83" s="2">
        <v>5432</v>
      </c>
      <c r="D83" s="3">
        <v>15000</v>
      </c>
    </row>
    <row r="84" spans="1:4" x14ac:dyDescent="0.25">
      <c r="A84" t="s">
        <v>1</v>
      </c>
      <c r="B84" t="s">
        <v>4</v>
      </c>
      <c r="C84" s="2">
        <v>4321</v>
      </c>
      <c r="D84" s="3">
        <v>65000</v>
      </c>
    </row>
    <row r="85" spans="1:4" x14ac:dyDescent="0.25">
      <c r="A85" t="s">
        <v>0</v>
      </c>
      <c r="B85" t="s">
        <v>2</v>
      </c>
      <c r="C85" s="2">
        <v>7891</v>
      </c>
      <c r="D85" s="3">
        <v>15000</v>
      </c>
    </row>
    <row r="86" spans="1:4" x14ac:dyDescent="0.25">
      <c r="A86" t="s">
        <v>1</v>
      </c>
      <c r="B86" t="s">
        <v>6</v>
      </c>
      <c r="C86" s="2">
        <v>3579</v>
      </c>
      <c r="D86" s="3">
        <v>45000</v>
      </c>
    </row>
    <row r="87" spans="1:4" x14ac:dyDescent="0.25">
      <c r="A87" t="s">
        <v>0</v>
      </c>
      <c r="B87" t="s">
        <v>7</v>
      </c>
      <c r="C87" s="2">
        <v>8642</v>
      </c>
      <c r="D87" s="3">
        <v>20000</v>
      </c>
    </row>
    <row r="88" spans="1:4" x14ac:dyDescent="0.25">
      <c r="A88" t="s">
        <v>0</v>
      </c>
      <c r="B88" t="s">
        <v>7</v>
      </c>
      <c r="C88" s="2">
        <v>1357</v>
      </c>
      <c r="D88" s="3">
        <v>20000</v>
      </c>
    </row>
    <row r="89" spans="1:4" x14ac:dyDescent="0.25">
      <c r="A89" t="s">
        <v>1</v>
      </c>
      <c r="B89" t="s">
        <v>3</v>
      </c>
      <c r="C89" s="2">
        <v>1987</v>
      </c>
      <c r="D89" s="3">
        <v>45000</v>
      </c>
    </row>
    <row r="90" spans="1:4" x14ac:dyDescent="0.25">
      <c r="A90" t="s">
        <v>0</v>
      </c>
      <c r="B90" t="s">
        <v>5</v>
      </c>
      <c r="C90" s="2">
        <v>6542</v>
      </c>
      <c r="D90" s="3">
        <v>20000</v>
      </c>
    </row>
    <row r="91" spans="1:4" x14ac:dyDescent="0.25">
      <c r="A91" t="s">
        <v>1</v>
      </c>
      <c r="B91" t="s">
        <v>4</v>
      </c>
      <c r="C91" s="2">
        <v>3571</v>
      </c>
      <c r="D91" s="3">
        <v>65000</v>
      </c>
    </row>
    <row r="92" spans="1:4" x14ac:dyDescent="0.25">
      <c r="A92" t="s">
        <v>0</v>
      </c>
      <c r="B92" t="s">
        <v>2</v>
      </c>
      <c r="C92" s="2">
        <v>8640</v>
      </c>
      <c r="D92" s="3">
        <v>20000</v>
      </c>
    </row>
    <row r="93" spans="1:4" x14ac:dyDescent="0.25">
      <c r="A93" t="s">
        <v>1</v>
      </c>
      <c r="B93" t="s">
        <v>6</v>
      </c>
      <c r="C93" s="2">
        <v>4326</v>
      </c>
      <c r="D93" s="3">
        <v>45000</v>
      </c>
    </row>
    <row r="94" spans="1:4" x14ac:dyDescent="0.25">
      <c r="A94" t="s">
        <v>0</v>
      </c>
      <c r="B94" t="s">
        <v>7</v>
      </c>
      <c r="C94" s="2">
        <v>9876</v>
      </c>
      <c r="D94" s="3">
        <v>15000</v>
      </c>
    </row>
  </sheetData>
  <pageMargins left="0.7" right="0.7" top="0.75" bottom="0.75" header="0.3" footer="0.3"/>
  <pageSetup orientation="portrait" horizontalDpi="4294967293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9041C-76D7-4C83-B120-61E7D50F3FEC}">
  <sheetPr codeName="Hoja2"/>
  <dimension ref="A1:J107"/>
  <sheetViews>
    <sheetView topLeftCell="A93" workbookViewId="0">
      <selection activeCell="K104" sqref="K104"/>
    </sheetView>
  </sheetViews>
  <sheetFormatPr baseColWidth="10" defaultRowHeight="15" x14ac:dyDescent="0.25"/>
  <cols>
    <col min="1" max="1" customWidth="true" style="4" width="34.85546875" collapsed="true"/>
    <col min="2" max="2" customWidth="true" style="1" width="30.42578125" collapsed="false"/>
    <col min="3" max="3" customWidth="true" style="7" width="15.28515625" collapsed="true"/>
    <col min="4" max="4" bestFit="true" customWidth="true" style="1" width="18.0" collapsed="true"/>
    <col min="5" max="5" customWidth="true" style="1" width="18.0" collapsed="false"/>
    <col min="6" max="6" customWidth="true" style="1" width="18.28515625" collapsed="true"/>
  </cols>
  <sheetData>
    <row r="1" spans="1:7" x14ac:dyDescent="0.25">
      <c r="A1" s="4" t="s">
        <v>9</v>
      </c>
      <c r="B1" s="1" t="s">
        <v>10</v>
      </c>
      <c r="C1" s="7" t="s">
        <v>11</v>
      </c>
      <c r="D1" s="1" t="s">
        <v>12</v>
      </c>
      <c r="E1" s="1" t="s">
        <v>16</v>
      </c>
      <c r="F1" s="1" t="s">
        <v>17</v>
      </c>
      <c r="G1" t="s">
        <v>18</v>
      </c>
    </row>
    <row r="2" spans="1:7" x14ac:dyDescent="0.25">
      <c r="A2" s="4">
        <v>45227.025324074071</v>
      </c>
      <c r="B2" s="1" t="s">
        <v>0</v>
      </c>
      <c r="C2" s="7">
        <v>48538</v>
      </c>
      <c r="D2" s="1" t="s">
        <v>2</v>
      </c>
      <c r="E2" s="1">
        <v>1</v>
      </c>
      <c r="F2" s="1">
        <v>2</v>
      </c>
      <c r="G2">
        <v>48538</v>
      </c>
    </row>
    <row r="3" spans="1:7" x14ac:dyDescent="0.25">
      <c r="A3" s="4">
        <v>45163.022650462961</v>
      </c>
      <c r="B3" s="1" t="s">
        <v>1</v>
      </c>
      <c r="C3" s="7">
        <v>34469</v>
      </c>
      <c r="D3" s="1" t="s">
        <v>3</v>
      </c>
      <c r="E3" s="1">
        <v>1</v>
      </c>
      <c r="F3" s="1">
        <v>1</v>
      </c>
      <c r="G3">
        <v>34469</v>
      </c>
    </row>
    <row r="4" spans="1:7" x14ac:dyDescent="0.25">
      <c r="A4" s="4">
        <v>45164.022650405095</v>
      </c>
      <c r="B4" s="1" t="s">
        <v>0</v>
      </c>
      <c r="C4" s="7">
        <v>80951</v>
      </c>
      <c r="D4" s="1" t="s">
        <v>2</v>
      </c>
      <c r="E4" s="1">
        <v>1</v>
      </c>
      <c r="F4" s="1">
        <v>2</v>
      </c>
      <c r="G4">
        <v>80951</v>
      </c>
    </row>
    <row r="5" spans="1:7" x14ac:dyDescent="0.25">
      <c r="A5" s="4">
        <v>45165.022650405095</v>
      </c>
      <c r="B5" s="1" t="s">
        <v>1</v>
      </c>
      <c r="C5" s="7">
        <v>31763</v>
      </c>
      <c r="D5" s="1" t="s">
        <v>3</v>
      </c>
      <c r="E5" s="1">
        <v>1</v>
      </c>
      <c r="F5" s="1">
        <v>2</v>
      </c>
      <c r="G5">
        <v>31763</v>
      </c>
    </row>
    <row r="6" spans="1:7" x14ac:dyDescent="0.25">
      <c r="A6" s="4">
        <v>45166.022650405095</v>
      </c>
      <c r="B6" s="1" t="s">
        <v>0</v>
      </c>
      <c r="C6" s="7">
        <v>39987</v>
      </c>
      <c r="D6" s="1" t="s">
        <v>2</v>
      </c>
      <c r="E6" s="1">
        <v>1</v>
      </c>
      <c r="F6" s="1">
        <v>2</v>
      </c>
      <c r="G6">
        <v>39987</v>
      </c>
    </row>
    <row r="7" spans="1:7" x14ac:dyDescent="0.25">
      <c r="A7" s="4">
        <v>45167.022650405095</v>
      </c>
      <c r="B7" s="1" t="s">
        <v>1</v>
      </c>
      <c r="C7" s="7">
        <v>77188</v>
      </c>
      <c r="D7" s="1" t="s">
        <v>4</v>
      </c>
      <c r="E7" s="1">
        <v>1</v>
      </c>
      <c r="F7" s="1">
        <v>1</v>
      </c>
      <c r="G7">
        <v>77188</v>
      </c>
    </row>
    <row r="8" spans="1:7" x14ac:dyDescent="0.25">
      <c r="A8" s="4">
        <v>45168.022650405095</v>
      </c>
      <c r="B8" s="1" t="s">
        <v>0</v>
      </c>
      <c r="C8" s="7">
        <v>71121</v>
      </c>
      <c r="D8" s="1" t="s">
        <v>5</v>
      </c>
      <c r="E8" s="1">
        <v>1</v>
      </c>
      <c r="F8" s="1">
        <v>1</v>
      </c>
      <c r="G8">
        <v>71121</v>
      </c>
    </row>
    <row r="9" spans="1:7" x14ac:dyDescent="0.25">
      <c r="A9" s="4">
        <v>45169.022650405095</v>
      </c>
      <c r="B9" s="1" t="s">
        <v>1</v>
      </c>
      <c r="C9" s="7">
        <v>77383</v>
      </c>
      <c r="D9" s="1" t="s">
        <v>3</v>
      </c>
      <c r="E9" s="1">
        <v>1</v>
      </c>
      <c r="F9" s="1">
        <v>1</v>
      </c>
      <c r="G9">
        <v>77383</v>
      </c>
    </row>
    <row r="10" spans="1:7" x14ac:dyDescent="0.25">
      <c r="A10" s="4">
        <v>45170.022650405095</v>
      </c>
      <c r="B10" s="1" t="s">
        <v>0</v>
      </c>
      <c r="C10" s="7">
        <v>38089</v>
      </c>
      <c r="D10" s="1" t="s">
        <v>5</v>
      </c>
      <c r="E10" s="1">
        <v>1</v>
      </c>
      <c r="F10" s="1">
        <v>2</v>
      </c>
      <c r="G10">
        <v>38089</v>
      </c>
    </row>
    <row r="11" spans="1:7" x14ac:dyDescent="0.25">
      <c r="A11" s="4">
        <v>45171.022650405095</v>
      </c>
      <c r="B11" s="1" t="s">
        <v>0</v>
      </c>
      <c r="C11" s="7">
        <v>71760</v>
      </c>
      <c r="D11" s="1" t="s">
        <v>2</v>
      </c>
      <c r="E11" s="1">
        <v>1</v>
      </c>
      <c r="F11" s="1">
        <v>1</v>
      </c>
      <c r="G11">
        <v>71760</v>
      </c>
    </row>
    <row r="12" spans="1:7" x14ac:dyDescent="0.25">
      <c r="A12" s="4">
        <v>45172.022650405095</v>
      </c>
      <c r="B12" s="1" t="s">
        <v>0</v>
      </c>
      <c r="C12" s="7">
        <v>68674</v>
      </c>
      <c r="D12" s="1" t="s">
        <v>7</v>
      </c>
      <c r="E12" s="1">
        <v>1</v>
      </c>
      <c r="F12" s="1">
        <v>2</v>
      </c>
      <c r="G12">
        <v>68674</v>
      </c>
    </row>
    <row r="13" spans="1:7" x14ac:dyDescent="0.25">
      <c r="A13" s="4">
        <v>45173.022650405095</v>
      </c>
      <c r="B13" s="1" t="s">
        <v>1</v>
      </c>
      <c r="C13" s="7">
        <v>89823</v>
      </c>
      <c r="D13" s="1" t="s">
        <v>3</v>
      </c>
      <c r="E13" s="1">
        <v>1</v>
      </c>
      <c r="F13" s="1">
        <v>1</v>
      </c>
      <c r="G13">
        <v>89823</v>
      </c>
    </row>
    <row r="14" spans="1:7" x14ac:dyDescent="0.25">
      <c r="A14" s="4">
        <v>45174.022650405095</v>
      </c>
      <c r="B14" s="1" t="s">
        <v>0</v>
      </c>
      <c r="C14" s="7">
        <v>20698</v>
      </c>
      <c r="D14" s="1" t="s">
        <v>7</v>
      </c>
      <c r="E14" s="1">
        <v>1</v>
      </c>
      <c r="F14" s="1">
        <v>2</v>
      </c>
      <c r="G14">
        <v>20698</v>
      </c>
    </row>
    <row r="15" spans="1:7" x14ac:dyDescent="0.25">
      <c r="A15" s="4">
        <v>45175.022650405095</v>
      </c>
      <c r="B15" s="1" t="s">
        <v>0</v>
      </c>
      <c r="C15" s="7">
        <v>70382</v>
      </c>
      <c r="D15" s="1" t="s">
        <v>7</v>
      </c>
      <c r="E15" s="1">
        <v>1</v>
      </c>
      <c r="F15" s="1">
        <v>1</v>
      </c>
      <c r="G15">
        <v>70382</v>
      </c>
    </row>
    <row r="16" spans="1:7" x14ac:dyDescent="0.25">
      <c r="A16" s="4">
        <v>45176.022650405095</v>
      </c>
      <c r="B16" s="1" t="s">
        <v>0</v>
      </c>
      <c r="C16" s="7">
        <v>22002</v>
      </c>
      <c r="D16" s="1" t="s">
        <v>5</v>
      </c>
      <c r="E16" s="1">
        <v>1</v>
      </c>
      <c r="F16" s="1">
        <v>2</v>
      </c>
      <c r="G16">
        <v>22002</v>
      </c>
    </row>
    <row r="17" spans="1:7" x14ac:dyDescent="0.25">
      <c r="A17" s="4">
        <v>45177.022650405095</v>
      </c>
      <c r="B17" s="1" t="s">
        <v>0</v>
      </c>
      <c r="C17" s="7">
        <v>75006</v>
      </c>
      <c r="D17" s="1" t="s">
        <v>2</v>
      </c>
      <c r="E17" s="1">
        <v>1</v>
      </c>
      <c r="F17" s="1">
        <v>1</v>
      </c>
      <c r="G17">
        <v>75006</v>
      </c>
    </row>
    <row r="18" spans="1:7" x14ac:dyDescent="0.25">
      <c r="A18" s="4">
        <v>45178.022650405095</v>
      </c>
      <c r="B18" s="1" t="s">
        <v>1</v>
      </c>
      <c r="C18" s="7">
        <v>34757</v>
      </c>
      <c r="D18" s="1" t="s">
        <v>4</v>
      </c>
      <c r="E18" s="1">
        <v>1</v>
      </c>
      <c r="F18" s="1">
        <v>2</v>
      </c>
      <c r="G18">
        <v>34757</v>
      </c>
    </row>
    <row r="19" spans="1:7" x14ac:dyDescent="0.25">
      <c r="A19" s="4">
        <v>45179.022650405095</v>
      </c>
      <c r="B19" s="1" t="s">
        <v>1</v>
      </c>
      <c r="C19" s="7">
        <v>77469</v>
      </c>
      <c r="D19" s="1" t="s">
        <v>3</v>
      </c>
      <c r="E19" s="1">
        <v>1</v>
      </c>
      <c r="F19" s="1">
        <v>1</v>
      </c>
      <c r="G19">
        <v>77469</v>
      </c>
    </row>
    <row r="20" spans="1:7" x14ac:dyDescent="0.25">
      <c r="A20" s="4">
        <v>45180.022650405095</v>
      </c>
      <c r="B20" s="1" t="s">
        <v>1</v>
      </c>
      <c r="C20" s="7">
        <v>70031</v>
      </c>
      <c r="D20" s="1" t="s">
        <v>4</v>
      </c>
      <c r="E20" s="1">
        <v>1</v>
      </c>
      <c r="F20" s="1">
        <v>2</v>
      </c>
      <c r="G20">
        <v>70031</v>
      </c>
    </row>
    <row r="21" spans="1:7" x14ac:dyDescent="0.25">
      <c r="A21" s="4">
        <v>45181.022650405095</v>
      </c>
      <c r="B21" s="1" t="s">
        <v>1</v>
      </c>
      <c r="C21" s="7">
        <v>26492</v>
      </c>
      <c r="D21" s="1" t="s">
        <v>4</v>
      </c>
      <c r="E21" s="1">
        <v>1</v>
      </c>
      <c r="F21" s="1">
        <v>1</v>
      </c>
      <c r="G21">
        <v>26492</v>
      </c>
    </row>
    <row r="22" spans="1:7" x14ac:dyDescent="0.25">
      <c r="A22" s="4">
        <v>45182.022650405095</v>
      </c>
      <c r="B22" s="1" t="s">
        <v>0</v>
      </c>
      <c r="C22" s="7">
        <v>63238</v>
      </c>
      <c r="D22" s="1" t="s">
        <v>2</v>
      </c>
      <c r="E22" s="1">
        <v>1</v>
      </c>
      <c r="F22" s="1">
        <v>1</v>
      </c>
      <c r="G22">
        <v>63238</v>
      </c>
    </row>
    <row r="23" spans="1:7" x14ac:dyDescent="0.25">
      <c r="A23" s="4">
        <v>45183.022650405095</v>
      </c>
      <c r="B23" s="1" t="s">
        <v>0</v>
      </c>
      <c r="C23" s="7">
        <v>59057</v>
      </c>
      <c r="D23" s="1" t="s">
        <v>5</v>
      </c>
      <c r="E23" s="1">
        <v>1</v>
      </c>
      <c r="F23" s="1">
        <v>1</v>
      </c>
      <c r="G23">
        <v>59057</v>
      </c>
    </row>
    <row r="24" spans="1:7" x14ac:dyDescent="0.25">
      <c r="A24" s="4">
        <v>45184.022650405095</v>
      </c>
      <c r="B24" s="1" t="s">
        <v>1</v>
      </c>
      <c r="C24" s="7">
        <v>36932</v>
      </c>
      <c r="D24" s="1" t="s">
        <v>4</v>
      </c>
      <c r="E24" s="1">
        <v>1</v>
      </c>
      <c r="F24" s="1">
        <v>1</v>
      </c>
      <c r="G24">
        <v>36932</v>
      </c>
    </row>
    <row r="25" spans="1:7" x14ac:dyDescent="0.25">
      <c r="A25" s="4">
        <v>45185.022650405095</v>
      </c>
      <c r="B25" s="1" t="s">
        <v>1</v>
      </c>
      <c r="C25" s="7">
        <v>29168</v>
      </c>
      <c r="D25" s="1" t="s">
        <v>6</v>
      </c>
      <c r="E25" s="1">
        <v>1</v>
      </c>
      <c r="F25" s="1">
        <v>1</v>
      </c>
      <c r="G25">
        <v>29168</v>
      </c>
    </row>
    <row r="26" spans="1:7" x14ac:dyDescent="0.25">
      <c r="A26" s="4">
        <v>45186.022650405095</v>
      </c>
      <c r="B26" s="1" t="s">
        <v>1</v>
      </c>
      <c r="C26" s="7">
        <v>24816</v>
      </c>
      <c r="D26" s="1" t="s">
        <v>3</v>
      </c>
      <c r="E26" s="1">
        <v>1</v>
      </c>
      <c r="F26" s="1">
        <v>1</v>
      </c>
      <c r="G26">
        <v>24816</v>
      </c>
    </row>
    <row r="27" spans="1:7" x14ac:dyDescent="0.25">
      <c r="A27" s="4">
        <v>45187.022650405095</v>
      </c>
      <c r="B27" s="1" t="s">
        <v>0</v>
      </c>
      <c r="C27" s="7">
        <v>47777</v>
      </c>
      <c r="D27" s="1" t="s">
        <v>2</v>
      </c>
      <c r="E27" s="1">
        <v>1</v>
      </c>
      <c r="F27" s="1">
        <v>1</v>
      </c>
      <c r="G27">
        <v>47777</v>
      </c>
    </row>
    <row r="28" spans="1:7" x14ac:dyDescent="0.25">
      <c r="A28" s="4">
        <v>45188.022650405095</v>
      </c>
      <c r="B28" s="1" t="s">
        <v>1</v>
      </c>
      <c r="C28" s="7">
        <v>49222</v>
      </c>
      <c r="D28" s="1" t="s">
        <v>4</v>
      </c>
      <c r="E28" s="1">
        <v>1</v>
      </c>
      <c r="F28" s="1">
        <v>2</v>
      </c>
      <c r="G28">
        <v>49222</v>
      </c>
    </row>
    <row r="29" spans="1:7" x14ac:dyDescent="0.25">
      <c r="A29" s="4">
        <v>45189.022650405095</v>
      </c>
      <c r="B29" s="1" t="s">
        <v>1</v>
      </c>
      <c r="C29" s="7">
        <v>35273</v>
      </c>
      <c r="D29" s="1" t="s">
        <v>6</v>
      </c>
      <c r="E29" s="1">
        <v>1</v>
      </c>
      <c r="F29" s="1">
        <v>2</v>
      </c>
      <c r="G29">
        <v>35273</v>
      </c>
    </row>
    <row r="30" spans="1:7" x14ac:dyDescent="0.25">
      <c r="A30" s="4">
        <v>45190.022650405095</v>
      </c>
      <c r="B30" s="1" t="s">
        <v>1</v>
      </c>
      <c r="C30" s="7">
        <v>47761</v>
      </c>
      <c r="D30" s="1" t="s">
        <v>3</v>
      </c>
      <c r="E30" s="1">
        <v>1</v>
      </c>
      <c r="F30" s="1">
        <v>2</v>
      </c>
      <c r="G30">
        <v>47761</v>
      </c>
    </row>
    <row r="31" spans="1:7" x14ac:dyDescent="0.25">
      <c r="A31" s="4">
        <v>45191.022650405095</v>
      </c>
      <c r="B31" s="1" t="s">
        <v>1</v>
      </c>
      <c r="C31" s="7">
        <v>26853</v>
      </c>
      <c r="D31" s="1" t="s">
        <v>6</v>
      </c>
      <c r="E31" s="1">
        <v>1</v>
      </c>
      <c r="F31" s="1">
        <v>2</v>
      </c>
      <c r="G31">
        <v>26853</v>
      </c>
    </row>
    <row r="32" spans="1:7" x14ac:dyDescent="0.25">
      <c r="A32" s="4">
        <v>45192.022650405095</v>
      </c>
      <c r="B32" s="1" t="s">
        <v>0</v>
      </c>
      <c r="C32" s="7">
        <v>87606</v>
      </c>
      <c r="D32" s="1" t="s">
        <v>2</v>
      </c>
      <c r="E32" s="1">
        <v>1</v>
      </c>
      <c r="F32" s="1">
        <v>2</v>
      </c>
      <c r="G32">
        <v>87606</v>
      </c>
    </row>
    <row r="33" spans="1:7" x14ac:dyDescent="0.25">
      <c r="A33" s="4">
        <v>45193.022650405095</v>
      </c>
      <c r="B33" s="1" t="s">
        <v>1</v>
      </c>
      <c r="C33" s="7">
        <v>62053</v>
      </c>
      <c r="D33" s="1" t="s">
        <v>3</v>
      </c>
      <c r="E33" s="1">
        <v>1</v>
      </c>
      <c r="F33" s="1">
        <v>2</v>
      </c>
      <c r="G33">
        <v>62053</v>
      </c>
    </row>
    <row r="34" spans="1:7" x14ac:dyDescent="0.25">
      <c r="A34" s="4">
        <v>45194.022650405095</v>
      </c>
      <c r="B34" s="1" t="s">
        <v>0</v>
      </c>
      <c r="C34" s="7">
        <v>48291</v>
      </c>
      <c r="D34" s="1" t="s">
        <v>2</v>
      </c>
      <c r="E34" s="1">
        <v>1</v>
      </c>
      <c r="F34" s="1">
        <v>2</v>
      </c>
      <c r="G34">
        <v>48291</v>
      </c>
    </row>
    <row r="35" spans="1:7" x14ac:dyDescent="0.25">
      <c r="A35" s="4">
        <v>45195.022650405095</v>
      </c>
      <c r="B35" s="1" t="s">
        <v>1</v>
      </c>
      <c r="C35" s="7">
        <v>58052</v>
      </c>
      <c r="D35" s="1" t="s">
        <v>3</v>
      </c>
      <c r="E35" s="1">
        <v>1</v>
      </c>
      <c r="F35" s="1">
        <v>2</v>
      </c>
      <c r="G35">
        <v>58052</v>
      </c>
    </row>
    <row r="36" spans="1:7" x14ac:dyDescent="0.25">
      <c r="A36" s="4">
        <v>45196.022650405095</v>
      </c>
      <c r="B36" s="1" t="s">
        <v>1</v>
      </c>
      <c r="C36" s="7">
        <v>26549</v>
      </c>
      <c r="D36" s="1" t="s">
        <v>4</v>
      </c>
      <c r="E36" s="1">
        <v>1</v>
      </c>
      <c r="F36" s="1">
        <v>2</v>
      </c>
      <c r="G36">
        <v>26549</v>
      </c>
    </row>
    <row r="37" spans="1:7" x14ac:dyDescent="0.25">
      <c r="A37" s="4">
        <v>45197.022650405095</v>
      </c>
      <c r="B37" s="1" t="s">
        <v>0</v>
      </c>
      <c r="C37" s="7">
        <v>26505</v>
      </c>
      <c r="D37" s="1" t="s">
        <v>2</v>
      </c>
      <c r="E37" s="1">
        <v>1</v>
      </c>
      <c r="F37" s="1">
        <v>2</v>
      </c>
      <c r="G37">
        <v>26505</v>
      </c>
    </row>
    <row r="38" spans="1:7" x14ac:dyDescent="0.25">
      <c r="A38" s="4">
        <v>45198.022650405095</v>
      </c>
      <c r="B38" s="1" t="s">
        <v>0</v>
      </c>
      <c r="C38" s="7">
        <v>86016</v>
      </c>
      <c r="D38" s="1" t="s">
        <v>7</v>
      </c>
      <c r="E38" s="1">
        <v>1</v>
      </c>
      <c r="F38" s="1">
        <v>2</v>
      </c>
      <c r="G38">
        <v>86016</v>
      </c>
    </row>
    <row r="39" spans="1:7" x14ac:dyDescent="0.25">
      <c r="A39" s="4">
        <v>45199.022650405095</v>
      </c>
      <c r="B39" s="1" t="s">
        <v>0</v>
      </c>
      <c r="C39" s="7">
        <v>26613</v>
      </c>
      <c r="D39" s="1" t="s">
        <v>7</v>
      </c>
      <c r="E39" s="1">
        <v>1</v>
      </c>
      <c r="F39" s="1">
        <v>2</v>
      </c>
      <c r="G39">
        <v>26613</v>
      </c>
    </row>
    <row r="40" spans="1:7" x14ac:dyDescent="0.25">
      <c r="A40" s="4">
        <v>45200.022650405095</v>
      </c>
      <c r="B40" s="1" t="s">
        <v>0</v>
      </c>
      <c r="C40" s="7">
        <v>62601</v>
      </c>
      <c r="D40" s="1" t="s">
        <v>5</v>
      </c>
      <c r="E40" s="1">
        <v>1</v>
      </c>
      <c r="F40" s="1">
        <v>2</v>
      </c>
      <c r="G40">
        <v>62601</v>
      </c>
    </row>
    <row r="41" spans="1:7" x14ac:dyDescent="0.25">
      <c r="A41" s="4">
        <v>45201.022650405095</v>
      </c>
      <c r="B41" s="1" t="s">
        <v>1</v>
      </c>
      <c r="C41" s="7">
        <v>71698</v>
      </c>
      <c r="D41" s="1" t="s">
        <v>6</v>
      </c>
      <c r="E41" s="1">
        <v>1</v>
      </c>
      <c r="F41" s="1">
        <v>2</v>
      </c>
      <c r="G41">
        <v>71698</v>
      </c>
    </row>
    <row r="42" spans="1:7" x14ac:dyDescent="0.25">
      <c r="A42" s="4">
        <v>45202.022650405095</v>
      </c>
      <c r="B42" s="1" t="s">
        <v>0</v>
      </c>
      <c r="C42" s="7">
        <v>71593</v>
      </c>
      <c r="D42" s="1" t="s">
        <v>5</v>
      </c>
      <c r="E42" s="1">
        <v>1</v>
      </c>
      <c r="F42" s="1">
        <v>1</v>
      </c>
      <c r="G42">
        <v>71593</v>
      </c>
    </row>
    <row r="43" spans="1:7" x14ac:dyDescent="0.25">
      <c r="A43" s="4">
        <v>45203.022650405095</v>
      </c>
      <c r="B43" s="1" t="s">
        <v>0</v>
      </c>
      <c r="C43" s="7">
        <v>76570</v>
      </c>
      <c r="D43" s="1" t="s">
        <v>5</v>
      </c>
      <c r="E43" s="1">
        <v>1</v>
      </c>
      <c r="F43" s="1">
        <v>1</v>
      </c>
      <c r="G43">
        <v>76570</v>
      </c>
    </row>
    <row r="44" spans="1:7" x14ac:dyDescent="0.25">
      <c r="A44" s="4">
        <v>45204.022650405095</v>
      </c>
      <c r="B44" s="1" t="s">
        <v>0</v>
      </c>
      <c r="C44" s="7">
        <v>24371</v>
      </c>
      <c r="D44" s="1" t="s">
        <v>7</v>
      </c>
      <c r="E44" s="1">
        <v>1</v>
      </c>
      <c r="F44" s="1">
        <v>1</v>
      </c>
      <c r="G44">
        <v>24371</v>
      </c>
    </row>
    <row r="45" spans="1:7" x14ac:dyDescent="0.25">
      <c r="A45" s="4">
        <v>45205.022650405095</v>
      </c>
      <c r="B45" s="1" t="s">
        <v>1</v>
      </c>
      <c r="C45" s="7">
        <v>54623</v>
      </c>
      <c r="D45" s="1" t="s">
        <v>4</v>
      </c>
      <c r="E45" s="1">
        <v>1</v>
      </c>
      <c r="F45" s="1">
        <v>2</v>
      </c>
      <c r="G45">
        <v>54623</v>
      </c>
    </row>
    <row r="46" spans="1:7" x14ac:dyDescent="0.25">
      <c r="A46" s="4">
        <v>45206.022650405095</v>
      </c>
      <c r="B46" s="1" t="s">
        <v>0</v>
      </c>
      <c r="C46" s="7">
        <v>40711</v>
      </c>
      <c r="D46" s="1" t="s">
        <v>7</v>
      </c>
      <c r="E46" s="1">
        <v>1</v>
      </c>
      <c r="F46" s="1">
        <v>1</v>
      </c>
      <c r="G46">
        <v>40711</v>
      </c>
    </row>
    <row r="47" spans="1:7" x14ac:dyDescent="0.25">
      <c r="A47" s="4">
        <v>45207.022650405095</v>
      </c>
      <c r="B47" s="1" t="s">
        <v>1</v>
      </c>
      <c r="C47" s="7">
        <v>47543</v>
      </c>
      <c r="D47" s="1" t="s">
        <v>3</v>
      </c>
      <c r="E47" s="1">
        <v>1</v>
      </c>
      <c r="F47" s="1">
        <v>1</v>
      </c>
      <c r="G47">
        <v>47543</v>
      </c>
    </row>
    <row r="48" spans="1:7" x14ac:dyDescent="0.25">
      <c r="A48" s="4">
        <v>45208.022650405095</v>
      </c>
      <c r="B48" s="1" t="s">
        <v>0</v>
      </c>
      <c r="C48" s="7">
        <v>78504</v>
      </c>
      <c r="D48" s="1" t="s">
        <v>2</v>
      </c>
      <c r="E48" s="1">
        <v>1</v>
      </c>
      <c r="F48" s="1">
        <v>1</v>
      </c>
      <c r="G48">
        <v>78504</v>
      </c>
    </row>
    <row r="49" spans="1:7" x14ac:dyDescent="0.25">
      <c r="A49" s="4">
        <v>45209.022650405095</v>
      </c>
      <c r="B49" s="1" t="s">
        <v>1</v>
      </c>
      <c r="C49" s="7">
        <v>55745</v>
      </c>
      <c r="D49" s="1" t="s">
        <v>6</v>
      </c>
      <c r="E49" s="1">
        <v>1</v>
      </c>
      <c r="F49" s="1">
        <v>1</v>
      </c>
      <c r="G49">
        <v>55745</v>
      </c>
    </row>
    <row r="50" spans="1:7" x14ac:dyDescent="0.25">
      <c r="A50" s="4">
        <v>45210.022650405095</v>
      </c>
      <c r="B50" s="1" t="s">
        <v>1</v>
      </c>
      <c r="C50" s="7">
        <v>68209</v>
      </c>
      <c r="D50" s="1" t="s">
        <v>6</v>
      </c>
      <c r="E50" s="1">
        <v>1</v>
      </c>
      <c r="F50" s="1">
        <v>1</v>
      </c>
      <c r="G50">
        <v>68209</v>
      </c>
    </row>
    <row r="51" spans="1:7" x14ac:dyDescent="0.25">
      <c r="A51" s="4">
        <v>45211.022650405095</v>
      </c>
      <c r="B51" s="1" t="s">
        <v>0</v>
      </c>
      <c r="C51" s="7">
        <v>62561</v>
      </c>
      <c r="D51" s="1" t="s">
        <v>7</v>
      </c>
      <c r="E51" s="1">
        <v>1</v>
      </c>
      <c r="F51" s="1">
        <v>1</v>
      </c>
      <c r="G51">
        <v>62561</v>
      </c>
    </row>
    <row r="52" spans="1:7" x14ac:dyDescent="0.25">
      <c r="A52" s="4">
        <v>45212.022650405095</v>
      </c>
      <c r="B52" s="1" t="s">
        <v>0</v>
      </c>
      <c r="C52" s="7">
        <v>74988</v>
      </c>
      <c r="D52" s="1" t="s">
        <v>7</v>
      </c>
      <c r="E52" s="1">
        <v>1</v>
      </c>
      <c r="F52" s="1">
        <v>1</v>
      </c>
      <c r="G52">
        <v>74988</v>
      </c>
    </row>
    <row r="53" spans="1:7" x14ac:dyDescent="0.25">
      <c r="A53" s="4">
        <v>45213.022650405095</v>
      </c>
      <c r="B53" s="1" t="s">
        <v>1</v>
      </c>
      <c r="C53" s="7">
        <v>48074</v>
      </c>
      <c r="D53" s="1" t="s">
        <v>3</v>
      </c>
      <c r="E53" s="1">
        <v>1</v>
      </c>
      <c r="F53" s="1">
        <v>1</v>
      </c>
      <c r="G53">
        <v>48074</v>
      </c>
    </row>
    <row r="54" spans="1:7" x14ac:dyDescent="0.25">
      <c r="A54" s="4">
        <v>45214.022650405095</v>
      </c>
      <c r="B54" s="1" t="s">
        <v>1</v>
      </c>
      <c r="C54" s="7">
        <v>22897</v>
      </c>
      <c r="D54" s="1" t="s">
        <v>4</v>
      </c>
      <c r="E54" s="1">
        <v>1</v>
      </c>
      <c r="F54" s="1">
        <v>1</v>
      </c>
      <c r="G54">
        <v>22897</v>
      </c>
    </row>
    <row r="55" spans="1:7" x14ac:dyDescent="0.25">
      <c r="A55" s="4">
        <v>45215.022650405095</v>
      </c>
      <c r="B55" s="1" t="s">
        <v>0</v>
      </c>
      <c r="C55" s="7">
        <v>60214</v>
      </c>
      <c r="D55" s="1" t="s">
        <v>5</v>
      </c>
      <c r="E55" s="1">
        <v>1</v>
      </c>
      <c r="F55" s="1">
        <v>1</v>
      </c>
      <c r="G55">
        <v>60214</v>
      </c>
    </row>
    <row r="56" spans="1:7" x14ac:dyDescent="0.25">
      <c r="A56" s="4">
        <v>45216.022650405095</v>
      </c>
      <c r="B56" s="1" t="s">
        <v>0</v>
      </c>
      <c r="C56" s="7">
        <v>48194</v>
      </c>
      <c r="D56" s="1" t="s">
        <v>2</v>
      </c>
      <c r="E56" s="1">
        <v>1</v>
      </c>
      <c r="F56" s="1">
        <v>1</v>
      </c>
      <c r="G56">
        <v>48194</v>
      </c>
    </row>
    <row r="57" spans="1:7" x14ac:dyDescent="0.25">
      <c r="A57" s="4">
        <v>45217.022650405095</v>
      </c>
      <c r="B57" s="1" t="s">
        <v>1</v>
      </c>
      <c r="C57" s="7">
        <v>84185</v>
      </c>
      <c r="D57" s="1" t="s">
        <v>6</v>
      </c>
      <c r="E57" s="1">
        <v>1</v>
      </c>
      <c r="F57" s="1">
        <v>1</v>
      </c>
      <c r="G57">
        <v>84185</v>
      </c>
    </row>
    <row r="58" spans="1:7" x14ac:dyDescent="0.25">
      <c r="A58" s="4">
        <v>45218.022650405095</v>
      </c>
      <c r="B58" s="1" t="s">
        <v>0</v>
      </c>
      <c r="C58" s="7">
        <v>83684</v>
      </c>
      <c r="D58" s="1" t="s">
        <v>7</v>
      </c>
      <c r="E58" s="1">
        <v>1</v>
      </c>
      <c r="F58" s="1">
        <v>1</v>
      </c>
      <c r="G58">
        <v>83684</v>
      </c>
    </row>
    <row r="59" spans="1:7" x14ac:dyDescent="0.25">
      <c r="A59" s="4">
        <v>45219.022650405095</v>
      </c>
      <c r="B59" s="1" t="s">
        <v>1</v>
      </c>
      <c r="C59" s="7">
        <v>36289</v>
      </c>
      <c r="D59" s="1" t="s">
        <v>4</v>
      </c>
      <c r="E59" s="1">
        <v>1</v>
      </c>
      <c r="F59" s="1">
        <v>2</v>
      </c>
      <c r="G59">
        <v>36289</v>
      </c>
    </row>
    <row r="60" spans="1:7" x14ac:dyDescent="0.25">
      <c r="A60" s="4">
        <v>45220.022650405095</v>
      </c>
      <c r="B60" s="1" t="s">
        <v>0</v>
      </c>
      <c r="C60" s="7">
        <v>57910</v>
      </c>
      <c r="D60" s="1" t="s">
        <v>5</v>
      </c>
      <c r="E60" s="1">
        <v>1</v>
      </c>
      <c r="F60" s="1">
        <v>2</v>
      </c>
      <c r="G60">
        <v>57910</v>
      </c>
    </row>
    <row r="61" spans="1:7" x14ac:dyDescent="0.25">
      <c r="A61" s="4">
        <v>45221.022650405095</v>
      </c>
      <c r="B61" s="1" t="s">
        <v>0</v>
      </c>
      <c r="C61" s="7">
        <v>74762</v>
      </c>
      <c r="D61" s="1" t="s">
        <v>7</v>
      </c>
      <c r="E61" s="1">
        <v>1</v>
      </c>
      <c r="F61" s="1">
        <v>2</v>
      </c>
      <c r="G61">
        <v>74762</v>
      </c>
    </row>
    <row r="62" spans="1:7" x14ac:dyDescent="0.25">
      <c r="A62" s="4">
        <v>45222.022650405095</v>
      </c>
      <c r="B62" s="1" t="s">
        <v>1</v>
      </c>
      <c r="C62" s="7">
        <v>54680</v>
      </c>
      <c r="D62" s="1" t="s">
        <v>3</v>
      </c>
      <c r="E62" s="1">
        <v>1</v>
      </c>
      <c r="F62" s="1">
        <v>2</v>
      </c>
      <c r="G62">
        <v>54680</v>
      </c>
    </row>
    <row r="63" spans="1:7" x14ac:dyDescent="0.25">
      <c r="A63" s="4">
        <v>45223.022650405095</v>
      </c>
      <c r="B63" s="1" t="s">
        <v>0</v>
      </c>
      <c r="C63" s="7">
        <v>55853</v>
      </c>
      <c r="D63" s="1" t="s">
        <v>2</v>
      </c>
      <c r="E63" s="1">
        <v>1</v>
      </c>
      <c r="F63" s="1">
        <v>2</v>
      </c>
      <c r="G63">
        <v>55853</v>
      </c>
    </row>
    <row r="64" spans="1:7" x14ac:dyDescent="0.25">
      <c r="A64" s="4">
        <v>45224.022650405095</v>
      </c>
      <c r="B64" s="1" t="s">
        <v>1</v>
      </c>
      <c r="C64" s="7">
        <v>20310</v>
      </c>
      <c r="D64" s="1" t="s">
        <v>6</v>
      </c>
      <c r="E64" s="1">
        <v>1</v>
      </c>
      <c r="F64" s="1">
        <v>2</v>
      </c>
      <c r="G64">
        <v>20310</v>
      </c>
    </row>
    <row r="65" spans="1:10" x14ac:dyDescent="0.25">
      <c r="A65" s="4">
        <v>45225.022650405095</v>
      </c>
      <c r="B65" s="1" t="s">
        <v>0</v>
      </c>
      <c r="C65" s="7">
        <v>20824</v>
      </c>
      <c r="D65" s="1" t="s">
        <v>2</v>
      </c>
      <c r="E65" s="1">
        <v>1</v>
      </c>
      <c r="F65" s="1">
        <v>2</v>
      </c>
      <c r="G65">
        <v>20824</v>
      </c>
      <c r="I65">
        <f>COUNTIF(Tabla2[Columna4],D103)</f>
        <v>14</v>
      </c>
      <c r="J65" t="s">
        <v>5</v>
      </c>
    </row>
    <row r="66" spans="1:10" x14ac:dyDescent="0.25">
      <c r="A66" s="4">
        <v>45226.022650462961</v>
      </c>
      <c r="B66" s="1" t="s">
        <v>1</v>
      </c>
      <c r="C66" s="7">
        <v>81841</v>
      </c>
      <c r="D66" s="1" t="s">
        <v>3</v>
      </c>
      <c r="E66" s="1">
        <v>1</v>
      </c>
      <c r="F66" s="1">
        <v>2</v>
      </c>
      <c r="G66">
        <v>81841</v>
      </c>
      <c r="I66">
        <f>COUNTIF(Tabla2[Columna4],D94)</f>
        <v>22</v>
      </c>
      <c r="J66" t="s">
        <v>2</v>
      </c>
    </row>
    <row r="67" spans="1:10" x14ac:dyDescent="0.25">
      <c r="A67" s="4">
        <v>45227.022650462961</v>
      </c>
      <c r="B67" s="1" t="s">
        <v>0</v>
      </c>
      <c r="C67" s="7">
        <v>42205</v>
      </c>
      <c r="D67" s="1" t="s">
        <v>7</v>
      </c>
      <c r="E67" s="1">
        <v>1</v>
      </c>
      <c r="F67" s="1">
        <v>2</v>
      </c>
      <c r="G67">
        <v>42205</v>
      </c>
      <c r="I67">
        <f>COUNTIF(Tabla2[Columna4],D58)</f>
        <v>17</v>
      </c>
      <c r="J67" t="s">
        <v>7</v>
      </c>
    </row>
    <row r="68" spans="1:10" x14ac:dyDescent="0.25">
      <c r="A68" s="4">
        <v>45228.022650405095</v>
      </c>
      <c r="B68" s="1" t="s">
        <v>0</v>
      </c>
      <c r="C68" s="7">
        <v>70822</v>
      </c>
      <c r="D68" s="1" t="s">
        <v>5</v>
      </c>
      <c r="E68" s="1">
        <v>1</v>
      </c>
      <c r="F68" s="1">
        <v>2</v>
      </c>
      <c r="G68">
        <v>70822</v>
      </c>
    </row>
    <row r="69" spans="1:10" x14ac:dyDescent="0.25">
      <c r="A69" s="4">
        <v>45229.022650405095</v>
      </c>
      <c r="B69" s="1" t="s">
        <v>1</v>
      </c>
      <c r="C69" s="7">
        <v>84957</v>
      </c>
      <c r="D69" s="1" t="s">
        <v>4</v>
      </c>
      <c r="E69" s="1">
        <v>1</v>
      </c>
      <c r="F69" s="1">
        <v>2</v>
      </c>
      <c r="G69">
        <v>84957</v>
      </c>
    </row>
    <row r="70" spans="1:10" x14ac:dyDescent="0.25">
      <c r="A70" s="4">
        <v>45230.022650405095</v>
      </c>
      <c r="B70" s="1" t="s">
        <v>0</v>
      </c>
      <c r="C70" s="7">
        <v>47831</v>
      </c>
      <c r="D70" s="1" t="s">
        <v>2</v>
      </c>
      <c r="E70" s="1">
        <v>1</v>
      </c>
      <c r="F70" s="1">
        <v>2</v>
      </c>
      <c r="G70">
        <v>47831</v>
      </c>
      <c r="I70">
        <f>COUNTIF(Tabla2[Columna4],D54)</f>
        <v>16</v>
      </c>
      <c r="J70" t="s">
        <v>4</v>
      </c>
    </row>
    <row r="71" spans="1:10" x14ac:dyDescent="0.25">
      <c r="A71" s="4">
        <v>45231.01699074074</v>
      </c>
      <c r="B71" s="1" t="s">
        <v>0</v>
      </c>
      <c r="C71" s="7">
        <v>45618</v>
      </c>
      <c r="D71" s="1" t="s">
        <v>7</v>
      </c>
      <c r="E71" s="1">
        <v>1</v>
      </c>
      <c r="F71" s="1">
        <v>1</v>
      </c>
      <c r="G71">
        <v>456</v>
      </c>
      <c r="I71">
        <f>COUNTIF(Tabla2[Columna4],D57)</f>
        <v>15</v>
      </c>
      <c r="J71" t="s">
        <v>6</v>
      </c>
    </row>
    <row r="72" spans="1:10" x14ac:dyDescent="0.25">
      <c r="A72" s="4">
        <v>45231.01699074074</v>
      </c>
      <c r="B72" s="1" t="s">
        <v>1</v>
      </c>
      <c r="C72" s="7">
        <v>78195</v>
      </c>
      <c r="D72" s="1" t="s">
        <v>3</v>
      </c>
      <c r="E72" s="1">
        <v>1</v>
      </c>
      <c r="F72" s="1">
        <v>2</v>
      </c>
      <c r="G72">
        <v>781</v>
      </c>
      <c r="I72">
        <f>COUNTIF(Tabla2[Columna4],D62)</f>
        <v>18</v>
      </c>
      <c r="J72" t="s">
        <v>3</v>
      </c>
    </row>
    <row r="73" spans="1:10" x14ac:dyDescent="0.25">
      <c r="A73" s="4">
        <v>45231.017280092594</v>
      </c>
      <c r="B73" s="1" t="s">
        <v>0</v>
      </c>
      <c r="C73" s="7">
        <v>40855</v>
      </c>
      <c r="D73" s="1" t="s">
        <v>2</v>
      </c>
      <c r="E73" s="1">
        <v>1</v>
      </c>
      <c r="F73" s="1">
        <v>1</v>
      </c>
      <c r="G73">
        <v>40855</v>
      </c>
    </row>
    <row r="74" spans="1:10" x14ac:dyDescent="0.25">
      <c r="A74" s="4">
        <v>45231.017442129632</v>
      </c>
      <c r="B74" s="1" t="s">
        <v>1</v>
      </c>
      <c r="C74" s="7">
        <v>42274</v>
      </c>
      <c r="D74" s="1" t="s">
        <v>4</v>
      </c>
      <c r="E74" s="1">
        <v>1</v>
      </c>
      <c r="F74" s="1">
        <v>1</v>
      </c>
      <c r="G74">
        <v>422</v>
      </c>
    </row>
    <row r="75" spans="1:10" x14ac:dyDescent="0.25">
      <c r="A75" s="4">
        <v>45231.017465277779</v>
      </c>
      <c r="B75" s="1" t="s">
        <v>1</v>
      </c>
      <c r="C75" s="7">
        <v>33071</v>
      </c>
      <c r="D75" s="1" t="s">
        <v>4</v>
      </c>
      <c r="E75" s="1">
        <v>1</v>
      </c>
      <c r="F75" s="1">
        <v>2</v>
      </c>
      <c r="G75">
        <v>3071</v>
      </c>
    </row>
    <row r="76" spans="1:10" x14ac:dyDescent="0.25">
      <c r="A76" s="4">
        <v>45231.017476851855</v>
      </c>
      <c r="B76" s="1" t="s">
        <v>0</v>
      </c>
      <c r="C76" s="7">
        <v>77549</v>
      </c>
      <c r="D76" s="1" t="s">
        <v>7</v>
      </c>
      <c r="E76" s="1">
        <v>1</v>
      </c>
      <c r="F76" s="1">
        <v>1</v>
      </c>
      <c r="G76">
        <v>7549</v>
      </c>
    </row>
    <row r="77" spans="1:10" x14ac:dyDescent="0.25">
      <c r="A77" s="4">
        <v>45231.017500000002</v>
      </c>
      <c r="B77" s="1" t="s">
        <v>0</v>
      </c>
      <c r="C77" s="7">
        <v>22782</v>
      </c>
      <c r="D77" s="1" t="s">
        <v>2</v>
      </c>
      <c r="E77" s="1">
        <v>1</v>
      </c>
      <c r="F77" s="1">
        <v>1</v>
      </c>
      <c r="G77">
        <v>22782</v>
      </c>
    </row>
    <row r="78" spans="1:10" x14ac:dyDescent="0.25">
      <c r="A78" s="4">
        <v>45231.017511574071</v>
      </c>
      <c r="B78" s="1" t="s">
        <v>1</v>
      </c>
      <c r="C78" s="7">
        <v>46439</v>
      </c>
      <c r="D78" s="1" t="s">
        <v>3</v>
      </c>
      <c r="E78" s="1">
        <v>1</v>
      </c>
      <c r="F78" s="1">
        <v>2</v>
      </c>
      <c r="G78">
        <v>4639</v>
      </c>
    </row>
    <row r="79" spans="1:10" x14ac:dyDescent="0.25">
      <c r="A79" s="4">
        <v>45231.017523148148</v>
      </c>
      <c r="B79" s="1" t="s">
        <v>0</v>
      </c>
      <c r="C79" s="7">
        <v>69344</v>
      </c>
      <c r="D79" s="1" t="s">
        <v>7</v>
      </c>
      <c r="E79" s="1">
        <v>1</v>
      </c>
      <c r="F79" s="1">
        <v>2</v>
      </c>
      <c r="G79">
        <v>6934</v>
      </c>
    </row>
    <row r="80" spans="1:10" x14ac:dyDescent="0.25">
      <c r="A80" s="4">
        <v>45231.017743055556</v>
      </c>
      <c r="B80" s="1" t="s">
        <v>1</v>
      </c>
      <c r="C80" s="7">
        <v>54321</v>
      </c>
      <c r="D80" s="1" t="s">
        <v>6</v>
      </c>
      <c r="E80" s="1">
        <v>1</v>
      </c>
      <c r="F80" s="1">
        <v>1</v>
      </c>
      <c r="G80">
        <v>543</v>
      </c>
    </row>
    <row r="81" spans="1:7" x14ac:dyDescent="0.25">
      <c r="A81" s="4">
        <v>45231.017754629633</v>
      </c>
      <c r="B81" s="1" t="s">
        <v>0</v>
      </c>
      <c r="C81" s="7">
        <v>65009</v>
      </c>
      <c r="D81" s="1" t="s">
        <v>5</v>
      </c>
      <c r="E81" s="1">
        <v>1</v>
      </c>
      <c r="F81" s="1">
        <v>2</v>
      </c>
      <c r="G81">
        <v>6500</v>
      </c>
    </row>
    <row r="82" spans="1:7" x14ac:dyDescent="0.25">
      <c r="A82" s="4">
        <v>45231.017766203702</v>
      </c>
      <c r="B82" s="1" t="s">
        <v>1</v>
      </c>
      <c r="C82" s="7">
        <v>26743</v>
      </c>
      <c r="D82" s="1" t="s">
        <v>4</v>
      </c>
      <c r="E82" s="1">
        <v>1</v>
      </c>
      <c r="F82" s="1">
        <v>1</v>
      </c>
      <c r="G82">
        <v>2673</v>
      </c>
    </row>
    <row r="83" spans="1:7" x14ac:dyDescent="0.25">
      <c r="A83" s="4">
        <v>45231.017777777779</v>
      </c>
      <c r="B83" s="1" t="s">
        <v>1</v>
      </c>
      <c r="C83" s="7">
        <v>66591</v>
      </c>
      <c r="D83" s="1" t="s">
        <v>4</v>
      </c>
      <c r="E83" s="1">
        <v>1</v>
      </c>
      <c r="F83" s="1">
        <v>1</v>
      </c>
      <c r="G83">
        <v>6691</v>
      </c>
    </row>
    <row r="84" spans="1:7" x14ac:dyDescent="0.25">
      <c r="A84" s="4">
        <v>45231.017824074072</v>
      </c>
      <c r="B84" s="1" t="s">
        <v>1</v>
      </c>
      <c r="C84" s="7">
        <v>66601</v>
      </c>
      <c r="D84" s="1" t="s">
        <v>6</v>
      </c>
      <c r="E84" s="1">
        <v>1</v>
      </c>
      <c r="F84" s="1">
        <v>2</v>
      </c>
      <c r="G84">
        <v>6661</v>
      </c>
    </row>
    <row r="85" spans="1:7" x14ac:dyDescent="0.25">
      <c r="A85" s="4">
        <v>45231.022291666668</v>
      </c>
      <c r="B85" s="1" t="s">
        <v>1</v>
      </c>
      <c r="C85" s="7">
        <v>53018</v>
      </c>
      <c r="D85" s="1" t="s">
        <v>3</v>
      </c>
      <c r="E85" s="1">
        <v>1</v>
      </c>
      <c r="F85" s="1">
        <v>1</v>
      </c>
      <c r="G85">
        <v>53018</v>
      </c>
    </row>
    <row r="86" spans="1:7" x14ac:dyDescent="0.25">
      <c r="A86" s="4">
        <v>45231.022291666668</v>
      </c>
      <c r="B86" s="1" t="s">
        <v>0</v>
      </c>
      <c r="C86" s="7">
        <v>44926</v>
      </c>
      <c r="D86" s="1" t="s">
        <v>2</v>
      </c>
      <c r="E86" s="1">
        <v>1</v>
      </c>
      <c r="F86" s="1">
        <v>1</v>
      </c>
      <c r="G86">
        <v>44926</v>
      </c>
    </row>
    <row r="87" spans="1:7" x14ac:dyDescent="0.25">
      <c r="A87" s="4">
        <v>45231.022314814814</v>
      </c>
      <c r="B87" s="1" t="s">
        <v>1</v>
      </c>
      <c r="C87" s="7">
        <v>48219</v>
      </c>
      <c r="D87" s="1" t="s">
        <v>6</v>
      </c>
      <c r="E87" s="1">
        <v>1</v>
      </c>
      <c r="F87" s="1">
        <v>1</v>
      </c>
      <c r="G87">
        <v>48219</v>
      </c>
    </row>
    <row r="88" spans="1:7" x14ac:dyDescent="0.25">
      <c r="A88" s="4">
        <v>45231.022326388891</v>
      </c>
      <c r="B88" s="1" t="s">
        <v>0</v>
      </c>
      <c r="C88" s="7">
        <v>23430</v>
      </c>
      <c r="D88" s="1" t="s">
        <v>5</v>
      </c>
      <c r="E88" s="1">
        <v>1</v>
      </c>
      <c r="F88" s="1">
        <v>1</v>
      </c>
      <c r="G88">
        <v>23430</v>
      </c>
    </row>
    <row r="89" spans="1:7" x14ac:dyDescent="0.25">
      <c r="A89" s="4">
        <v>45231.022349537037</v>
      </c>
      <c r="B89" s="1" t="s">
        <v>0</v>
      </c>
      <c r="C89" s="7">
        <v>70360</v>
      </c>
      <c r="D89" s="1" t="s">
        <v>7</v>
      </c>
      <c r="E89" s="1">
        <v>1</v>
      </c>
      <c r="F89" s="1">
        <v>1</v>
      </c>
      <c r="G89">
        <v>70360</v>
      </c>
    </row>
    <row r="90" spans="1:7" x14ac:dyDescent="0.25">
      <c r="A90" s="4">
        <v>45231.022361111114</v>
      </c>
      <c r="B90" s="1" t="s">
        <v>1</v>
      </c>
      <c r="C90" s="7">
        <v>64869</v>
      </c>
      <c r="D90" s="1" t="s">
        <v>3</v>
      </c>
      <c r="E90" s="1">
        <v>1</v>
      </c>
      <c r="F90" s="1">
        <v>1</v>
      </c>
      <c r="G90">
        <v>64869</v>
      </c>
    </row>
    <row r="91" spans="1:7" x14ac:dyDescent="0.25">
      <c r="A91" s="4">
        <v>45231.022407407407</v>
      </c>
      <c r="B91" s="1" t="s">
        <v>0</v>
      </c>
      <c r="C91" s="7">
        <v>28231</v>
      </c>
      <c r="D91" s="1" t="s">
        <v>5</v>
      </c>
      <c r="E91" s="1">
        <v>1</v>
      </c>
      <c r="F91" s="1">
        <v>1</v>
      </c>
      <c r="G91">
        <v>28231</v>
      </c>
    </row>
    <row r="92" spans="1:7" x14ac:dyDescent="0.25">
      <c r="A92" s="4">
        <v>45231.022418981483</v>
      </c>
      <c r="B92" s="1" t="s">
        <v>1</v>
      </c>
      <c r="C92" s="7">
        <v>71092</v>
      </c>
      <c r="D92" s="1" t="s">
        <v>6</v>
      </c>
      <c r="E92" s="1">
        <v>1</v>
      </c>
      <c r="F92" s="1">
        <v>1</v>
      </c>
      <c r="G92">
        <v>71092</v>
      </c>
    </row>
    <row r="93" spans="1:7" x14ac:dyDescent="0.25">
      <c r="A93" s="4">
        <v>45231.022465277776</v>
      </c>
      <c r="B93" s="1" t="s">
        <v>1</v>
      </c>
      <c r="C93" s="7">
        <v>28902</v>
      </c>
      <c r="D93" s="1" t="s">
        <v>4</v>
      </c>
      <c r="E93" s="1">
        <v>1</v>
      </c>
      <c r="F93" s="1">
        <v>1</v>
      </c>
      <c r="G93">
        <v>28902</v>
      </c>
    </row>
    <row r="94" spans="1:7" x14ac:dyDescent="0.25">
      <c r="A94" s="4">
        <v>45231.022476851853</v>
      </c>
      <c r="B94" s="1" t="s">
        <v>0</v>
      </c>
      <c r="C94" s="7">
        <v>23674</v>
      </c>
      <c r="D94" s="1" t="s">
        <v>2</v>
      </c>
      <c r="E94" s="1">
        <v>1</v>
      </c>
      <c r="F94" s="1">
        <v>1</v>
      </c>
      <c r="G94">
        <v>23674</v>
      </c>
    </row>
    <row r="95" spans="1:7" x14ac:dyDescent="0.25">
      <c r="A95" s="4">
        <v>45231.022488425922</v>
      </c>
      <c r="B95" s="1" t="s">
        <v>1</v>
      </c>
      <c r="C95" s="7">
        <v>41395</v>
      </c>
      <c r="D95" s="1" t="s">
        <v>3</v>
      </c>
      <c r="E95" s="1">
        <v>1</v>
      </c>
      <c r="F95" s="1">
        <v>1</v>
      </c>
      <c r="G95">
        <v>41395</v>
      </c>
    </row>
    <row r="96" spans="1:7" x14ac:dyDescent="0.25">
      <c r="A96" s="4">
        <v>45231.022546296299</v>
      </c>
      <c r="B96" s="1" t="s">
        <v>0</v>
      </c>
      <c r="C96" s="7">
        <v>41652</v>
      </c>
      <c r="D96" s="1" t="s">
        <v>2</v>
      </c>
      <c r="E96" s="1">
        <v>1</v>
      </c>
      <c r="F96" s="1">
        <v>1</v>
      </c>
      <c r="G96">
        <v>41652</v>
      </c>
    </row>
    <row r="97" spans="1:7" x14ac:dyDescent="0.25">
      <c r="A97" s="4">
        <v>45231.022546296299</v>
      </c>
      <c r="B97" s="1" t="s">
        <v>1</v>
      </c>
      <c r="C97" s="7">
        <v>79167</v>
      </c>
      <c r="D97" s="1" t="s">
        <v>6</v>
      </c>
      <c r="E97" s="1">
        <v>1</v>
      </c>
      <c r="F97" s="1">
        <v>1</v>
      </c>
      <c r="G97">
        <v>79167</v>
      </c>
    </row>
    <row r="98" spans="1:7" x14ac:dyDescent="0.25">
      <c r="A98" s="4">
        <v>45231.022581018522</v>
      </c>
      <c r="B98" s="1" t="s">
        <v>0</v>
      </c>
      <c r="C98" s="7">
        <v>28682</v>
      </c>
      <c r="D98" s="1" t="s">
        <v>2</v>
      </c>
      <c r="E98" s="1">
        <v>1</v>
      </c>
      <c r="F98" s="1">
        <v>2</v>
      </c>
      <c r="G98">
        <v>28682</v>
      </c>
    </row>
    <row r="99" spans="1:7" x14ac:dyDescent="0.25">
      <c r="A99" s="4">
        <v>45231.022592592592</v>
      </c>
      <c r="B99" s="1" t="s">
        <v>1</v>
      </c>
      <c r="C99" s="7">
        <v>74011</v>
      </c>
      <c r="D99" s="1" t="s">
        <v>6</v>
      </c>
      <c r="E99" s="1">
        <v>1</v>
      </c>
      <c r="F99" s="1">
        <v>2</v>
      </c>
      <c r="G99">
        <v>74011</v>
      </c>
    </row>
    <row r="100" spans="1:7" x14ac:dyDescent="0.25">
      <c r="A100" s="4">
        <v>45231.022638888891</v>
      </c>
      <c r="B100" s="1" t="s">
        <v>0</v>
      </c>
      <c r="C100" s="7">
        <v>70371</v>
      </c>
      <c r="D100" s="1" t="s">
        <v>2</v>
      </c>
      <c r="E100" s="1">
        <v>1</v>
      </c>
      <c r="F100" s="1">
        <v>2</v>
      </c>
      <c r="G100">
        <v>70371</v>
      </c>
    </row>
    <row r="101" spans="1:7" x14ac:dyDescent="0.25">
      <c r="A101" s="4">
        <v>45231.022650462961</v>
      </c>
      <c r="B101" s="1" t="s">
        <v>0</v>
      </c>
      <c r="C101" s="7">
        <v>82677</v>
      </c>
      <c r="D101" s="1" t="s">
        <v>7</v>
      </c>
      <c r="E101" s="1">
        <v>1</v>
      </c>
      <c r="F101" s="1">
        <v>2</v>
      </c>
      <c r="G101">
        <v>82677</v>
      </c>
    </row>
    <row r="102" spans="1:7" x14ac:dyDescent="0.25">
      <c r="A102" s="4">
        <v>45231.721377314818</v>
      </c>
      <c r="B102" s="5" t="s">
        <v>1</v>
      </c>
      <c r="C102" s="6">
        <v>45000</v>
      </c>
      <c r="D102" s="1" t="s">
        <v>6</v>
      </c>
      <c r="E102" s="1">
        <v>1</v>
      </c>
      <c r="F102" s="1">
        <v>1</v>
      </c>
      <c r="G102">
        <v>2109</v>
      </c>
    </row>
    <row r="103" spans="1:7" x14ac:dyDescent="0.25">
      <c r="A103" s="4">
        <v>45232.594317129631</v>
      </c>
      <c r="B103" s="5" t="s">
        <v>0</v>
      </c>
      <c r="C103" s="6">
        <v>15000</v>
      </c>
      <c r="D103" s="1" t="s">
        <v>5</v>
      </c>
      <c r="E103" s="1">
        <v>1</v>
      </c>
      <c r="F103" s="1">
        <v>2</v>
      </c>
      <c r="G103">
        <v>2109</v>
      </c>
    </row>
    <row r="104" spans="1:7" x14ac:dyDescent="0.25">
      <c r="A104" s="20">
        <v>45232.601030115744</v>
      </c>
      <c r="B104"/>
      <c r="C104">
        <v>0</v>
      </c>
      <c r="D104"/>
      <c r="F104">
        <v>0</v>
      </c>
      <c r="G104">
        <v>9876</v>
      </c>
    </row>
    <row r="105" spans="1:7" x14ac:dyDescent="0.25">
      <c r="A105" s="21">
        <v>45232.601030127313</v>
      </c>
      <c r="B105"/>
      <c r="C105">
        <v>0</v>
      </c>
      <c r="D105"/>
      <c r="F105">
        <v>0</v>
      </c>
      <c r="G105">
        <v>9876</v>
      </c>
    </row>
    <row r="106" spans="1:7" x14ac:dyDescent="0.25">
      <c r="A106" s="21">
        <v>45232.601030127313</v>
      </c>
      <c r="B106"/>
      <c r="C106">
        <v>0</v>
      </c>
      <c r="D106"/>
      <c r="F106">
        <v>0</v>
      </c>
      <c r="G106">
        <v>9876</v>
      </c>
    </row>
    <row r="107" spans="1:7" x14ac:dyDescent="0.25">
      <c r="A107" s="22">
        <v>45232.601037037035</v>
      </c>
      <c r="B107" t="s">
        <v>1</v>
      </c>
      <c r="C107">
        <v>45000</v>
      </c>
      <c r="D107" t="s">
        <v>4</v>
      </c>
      <c r="F107">
        <v>0</v>
      </c>
      <c r="G107">
        <v>4321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BCFDC9-A892-4BD4-AED7-441B2E59E8E6}">
  <dimension ref="A1:F12"/>
  <sheetViews>
    <sheetView tabSelected="1" workbookViewId="0">
      <selection activeCell="J11" sqref="J11"/>
    </sheetView>
  </sheetViews>
  <sheetFormatPr baseColWidth="10" defaultRowHeight="15" x14ac:dyDescent="0.25"/>
  <cols>
    <col min="1" max="1" bestFit="true" customWidth="true" style="19" width="15.7109375" collapsed="false"/>
  </cols>
  <sheetData>
    <row r="1" spans="1:1" x14ac:dyDescent="0.25">
      <c r="A1" s="23"/>
    </row>
    <row r="2" spans="1:1" x14ac:dyDescent="0.25">
      <c r="A2" s="24"/>
    </row>
    <row r="3" spans="1:1" x14ac:dyDescent="0.25">
      <c r="A3" s="25"/>
    </row>
    <row r="4" spans="1:1" x14ac:dyDescent="0.25">
      <c r="A4" s="26"/>
    </row>
    <row r="5" spans="1:1" x14ac:dyDescent="0.25">
      <c r="A5" s="27"/>
    </row>
    <row r="6" spans="1:1" x14ac:dyDescent="0.25">
      <c r="A6" s="28"/>
    </row>
    <row r="7" spans="1:1" x14ac:dyDescent="0.25">
      <c r="A7" s="29"/>
    </row>
    <row r="8" spans="1:1" x14ac:dyDescent="0.25">
      <c r="A8" s="30"/>
    </row>
    <row r="9" spans="1:1" x14ac:dyDescent="0.25">
      <c r="A9" s="31"/>
    </row>
    <row r="10" spans="1:1" x14ac:dyDescent="0.25">
      <c r="A10" s="32"/>
    </row>
    <row r="11" spans="1:1" x14ac:dyDescent="0.25">
      <c r="A11" s="33"/>
    </row>
    <row r="12">
      <c r="A12" s="34" t="n">
        <v>45232.602444930555</v>
      </c>
      <c r="B12" t="s">
        <v>26</v>
      </c>
      <c r="C12" t="s">
        <v>27</v>
      </c>
      <c r="D12" t="s">
        <v>28</v>
      </c>
      <c r="E12" t="n">
        <v>0.0</v>
      </c>
      <c r="F12" t="n">
        <v>50000.0</v>
      </c>
    </row>
  </sheetData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53BFF-5749-42C5-A513-2C792802E96E}">
  <dimension ref="A1"/>
  <sheetViews>
    <sheetView topLeftCell="A2" zoomScale="93" workbookViewId="0">
      <selection activeCell="U25" sqref="U25"/>
    </sheetView>
  </sheetViews>
  <sheetFormatPr baseColWidth="10" defaultRowHeight="15" x14ac:dyDescent="0.25"/>
  <sheetData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844D7-FC39-47D0-8B1D-3DB7AE402E18}">
  <dimension ref="B3:C5"/>
  <sheetViews>
    <sheetView workbookViewId="0">
      <selection activeCell="L16" sqref="L16"/>
    </sheetView>
  </sheetViews>
  <sheetFormatPr baseColWidth="10" defaultRowHeight="15" x14ac:dyDescent="0.25"/>
  <cols>
    <col min="2" max="2" bestFit="true" customWidth="true" width="16.5703125" collapsed="false"/>
    <col min="3" max="3" bestFit="true" customWidth="true" width="20.7109375" collapsed="false"/>
  </cols>
  <sheetData>
    <row r="3" spans="2:3" x14ac:dyDescent="0.25">
      <c r="B3" s="8" t="s">
        <v>13</v>
      </c>
      <c r="C3" t="s">
        <v>15</v>
      </c>
    </row>
    <row r="4" spans="2:3" x14ac:dyDescent="0.25">
      <c r="B4" s="9" t="s">
        <v>0</v>
      </c>
      <c r="C4" s="11">
        <v>24</v>
      </c>
    </row>
    <row r="5" spans="2:3" x14ac:dyDescent="0.25">
      <c r="B5" s="9" t="s">
        <v>14</v>
      </c>
      <c r="C5" s="11">
        <v>24</v>
      </c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78D62-91DB-4093-A0A1-07356FCF5D0D}">
  <dimension ref="A1:E103"/>
  <sheetViews>
    <sheetView workbookViewId="0">
      <selection activeCell="E1" sqref="E1:E1048576"/>
    </sheetView>
  </sheetViews>
  <sheetFormatPr baseColWidth="10" defaultRowHeight="15" x14ac:dyDescent="0.25"/>
  <cols>
    <col min="1" max="1" bestFit="true" customWidth="true" style="1" width="18.0" collapsed="true"/>
    <col min="3" max="5" customWidth="true" hidden="true" width="0.0" collapsed="false"/>
  </cols>
  <sheetData>
    <row r="1" spans="1:5" x14ac:dyDescent="0.25">
      <c r="A1" s="13" t="s">
        <v>9</v>
      </c>
      <c r="B1" s="13" t="s">
        <v>10</v>
      </c>
      <c r="C1" t="s">
        <v>11</v>
      </c>
      <c r="D1" t="s">
        <v>12</v>
      </c>
      <c r="E1" t="s">
        <v>16</v>
      </c>
    </row>
    <row r="2" spans="1:5" x14ac:dyDescent="0.25">
      <c r="A2" s="13" t="s">
        <v>2</v>
      </c>
      <c r="B2" s="13" t="s">
        <v>0</v>
      </c>
    </row>
    <row r="3" spans="1:5" x14ac:dyDescent="0.25">
      <c r="A3" s="14" t="s">
        <v>3</v>
      </c>
      <c r="B3" s="14" t="s">
        <v>1</v>
      </c>
    </row>
    <row r="4" spans="1:5" x14ac:dyDescent="0.25">
      <c r="A4" s="13" t="s">
        <v>2</v>
      </c>
      <c r="B4" s="13" t="s">
        <v>0</v>
      </c>
    </row>
    <row r="5" spans="1:5" x14ac:dyDescent="0.25">
      <c r="A5" s="14" t="s">
        <v>3</v>
      </c>
      <c r="B5" s="14" t="s">
        <v>1</v>
      </c>
      <c r="D5" t="s">
        <v>21</v>
      </c>
      <c r="E5" t="s">
        <v>22</v>
      </c>
    </row>
    <row r="6" spans="1:5" x14ac:dyDescent="0.25">
      <c r="A6" s="13" t="s">
        <v>2</v>
      </c>
      <c r="B6" s="13" t="s">
        <v>0</v>
      </c>
      <c r="C6" s="1" t="str">
        <f>B8</f>
        <v>Camisa</v>
      </c>
      <c r="D6" t="s">
        <v>5</v>
      </c>
      <c r="E6">
        <f>COUNTIF(A2:A103,A103)</f>
        <v>14</v>
      </c>
    </row>
    <row r="7" spans="1:5" x14ac:dyDescent="0.25">
      <c r="A7" s="14" t="s">
        <v>4</v>
      </c>
      <c r="B7" s="14" t="s">
        <v>1</v>
      </c>
      <c r="C7" s="1"/>
      <c r="D7" t="s">
        <v>2</v>
      </c>
      <c r="E7">
        <f>COUNTIF(A2:A103,A2)</f>
        <v>22</v>
      </c>
    </row>
    <row r="8" spans="1:5" x14ac:dyDescent="0.25">
      <c r="A8" s="13" t="s">
        <v>5</v>
      </c>
      <c r="B8" s="13" t="s">
        <v>0</v>
      </c>
      <c r="C8" s="1"/>
      <c r="D8" t="s">
        <v>7</v>
      </c>
      <c r="E8">
        <f>COUNTIF(A2:A103,A12)</f>
        <v>17</v>
      </c>
    </row>
    <row r="9" spans="1:5" x14ac:dyDescent="0.25">
      <c r="A9" s="14" t="s">
        <v>3</v>
      </c>
      <c r="B9" s="14" t="s">
        <v>1</v>
      </c>
      <c r="C9" s="1" t="str">
        <f>B7</f>
        <v>Pantalón</v>
      </c>
      <c r="D9" t="s">
        <v>4</v>
      </c>
      <c r="E9">
        <f>COUNTIF(A2:A103,A18)</f>
        <v>16</v>
      </c>
    </row>
    <row r="10" spans="1:5" x14ac:dyDescent="0.25">
      <c r="A10" s="13" t="s">
        <v>5</v>
      </c>
      <c r="B10" s="13" t="s">
        <v>0</v>
      </c>
      <c r="C10" s="1"/>
      <c r="D10" t="s">
        <v>6</v>
      </c>
      <c r="E10">
        <f>COUNTIF(A2:A103,A29)</f>
        <v>15</v>
      </c>
    </row>
    <row r="11" spans="1:5" x14ac:dyDescent="0.25">
      <c r="A11" s="14" t="s">
        <v>2</v>
      </c>
      <c r="B11" s="14" t="s">
        <v>0</v>
      </c>
      <c r="C11" s="1"/>
      <c r="D11" t="s">
        <v>3</v>
      </c>
      <c r="E11">
        <f>COUNTIF(A2:A103,A3)</f>
        <v>18</v>
      </c>
    </row>
    <row r="12" spans="1:5" x14ac:dyDescent="0.25">
      <c r="A12" s="13" t="s">
        <v>7</v>
      </c>
      <c r="B12" s="13" t="s">
        <v>0</v>
      </c>
    </row>
    <row r="13" spans="1:5" x14ac:dyDescent="0.25">
      <c r="A13" s="14" t="s">
        <v>3</v>
      </c>
      <c r="B13" s="14" t="s">
        <v>1</v>
      </c>
    </row>
    <row r="14" spans="1:5" x14ac:dyDescent="0.25">
      <c r="A14" s="13" t="s">
        <v>7</v>
      </c>
      <c r="B14" s="13" t="s">
        <v>0</v>
      </c>
    </row>
    <row r="15" spans="1:5" x14ac:dyDescent="0.25">
      <c r="A15" s="14" t="s">
        <v>7</v>
      </c>
      <c r="B15" s="14" t="s">
        <v>0</v>
      </c>
    </row>
    <row r="16" spans="1:5" x14ac:dyDescent="0.25">
      <c r="A16" s="13" t="s">
        <v>5</v>
      </c>
      <c r="B16" s="13" t="s">
        <v>0</v>
      </c>
    </row>
    <row r="17" spans="1:2" x14ac:dyDescent="0.25">
      <c r="A17" s="14" t="s">
        <v>2</v>
      </c>
      <c r="B17" s="14" t="s">
        <v>0</v>
      </c>
    </row>
    <row r="18" spans="1:2" x14ac:dyDescent="0.25">
      <c r="A18" s="13" t="s">
        <v>4</v>
      </c>
      <c r="B18" s="13" t="s">
        <v>1</v>
      </c>
    </row>
    <row r="19" spans="1:2" x14ac:dyDescent="0.25">
      <c r="A19" s="14" t="s">
        <v>3</v>
      </c>
      <c r="B19" s="14" t="s">
        <v>1</v>
      </c>
    </row>
    <row r="20" spans="1:2" x14ac:dyDescent="0.25">
      <c r="A20" s="13" t="s">
        <v>4</v>
      </c>
      <c r="B20" s="13" t="s">
        <v>1</v>
      </c>
    </row>
    <row r="21" spans="1:2" x14ac:dyDescent="0.25">
      <c r="A21" s="14" t="s">
        <v>4</v>
      </c>
      <c r="B21" s="14" t="s">
        <v>1</v>
      </c>
    </row>
    <row r="22" spans="1:2" x14ac:dyDescent="0.25">
      <c r="A22" s="13" t="s">
        <v>2</v>
      </c>
      <c r="B22" s="13" t="s">
        <v>0</v>
      </c>
    </row>
    <row r="23" spans="1:2" x14ac:dyDescent="0.25">
      <c r="A23" s="14" t="s">
        <v>5</v>
      </c>
      <c r="B23" s="14" t="s">
        <v>0</v>
      </c>
    </row>
    <row r="24" spans="1:2" x14ac:dyDescent="0.25">
      <c r="A24" s="13" t="s">
        <v>4</v>
      </c>
      <c r="B24" s="13" t="s">
        <v>1</v>
      </c>
    </row>
    <row r="25" spans="1:2" x14ac:dyDescent="0.25">
      <c r="A25" s="14" t="s">
        <v>6</v>
      </c>
      <c r="B25" s="14" t="s">
        <v>1</v>
      </c>
    </row>
    <row r="26" spans="1:2" x14ac:dyDescent="0.25">
      <c r="A26" s="13" t="s">
        <v>3</v>
      </c>
      <c r="B26" s="13" t="s">
        <v>1</v>
      </c>
    </row>
    <row r="27" spans="1:2" x14ac:dyDescent="0.25">
      <c r="A27" s="14" t="s">
        <v>2</v>
      </c>
      <c r="B27" s="14" t="s">
        <v>0</v>
      </c>
    </row>
    <row r="28" spans="1:2" x14ac:dyDescent="0.25">
      <c r="A28" s="13" t="s">
        <v>4</v>
      </c>
      <c r="B28" s="13" t="s">
        <v>1</v>
      </c>
    </row>
    <row r="29" spans="1:2" x14ac:dyDescent="0.25">
      <c r="A29" s="14" t="s">
        <v>6</v>
      </c>
      <c r="B29" s="14" t="s">
        <v>1</v>
      </c>
    </row>
    <row r="30" spans="1:2" x14ac:dyDescent="0.25">
      <c r="A30" s="13" t="s">
        <v>3</v>
      </c>
      <c r="B30" s="13" t="s">
        <v>1</v>
      </c>
    </row>
    <row r="31" spans="1:2" x14ac:dyDescent="0.25">
      <c r="A31" s="14" t="s">
        <v>6</v>
      </c>
      <c r="B31" s="14" t="s">
        <v>1</v>
      </c>
    </row>
    <row r="32" spans="1:2" x14ac:dyDescent="0.25">
      <c r="A32" s="13" t="s">
        <v>2</v>
      </c>
      <c r="B32" s="13" t="s">
        <v>0</v>
      </c>
    </row>
    <row r="33" spans="1:2" x14ac:dyDescent="0.25">
      <c r="A33" s="14" t="s">
        <v>3</v>
      </c>
      <c r="B33" s="14" t="s">
        <v>1</v>
      </c>
    </row>
    <row r="34" spans="1:2" x14ac:dyDescent="0.25">
      <c r="A34" s="13" t="s">
        <v>2</v>
      </c>
      <c r="B34" s="13" t="s">
        <v>0</v>
      </c>
    </row>
    <row r="35" spans="1:2" x14ac:dyDescent="0.25">
      <c r="A35" s="14" t="s">
        <v>3</v>
      </c>
      <c r="B35" s="14" t="s">
        <v>1</v>
      </c>
    </row>
    <row r="36" spans="1:2" x14ac:dyDescent="0.25">
      <c r="A36" s="13" t="s">
        <v>4</v>
      </c>
      <c r="B36" s="13" t="s">
        <v>1</v>
      </c>
    </row>
    <row r="37" spans="1:2" x14ac:dyDescent="0.25">
      <c r="A37" s="14" t="s">
        <v>2</v>
      </c>
      <c r="B37" s="14" t="s">
        <v>0</v>
      </c>
    </row>
    <row r="38" spans="1:2" x14ac:dyDescent="0.25">
      <c r="A38" s="13" t="s">
        <v>7</v>
      </c>
      <c r="B38" s="13" t="s">
        <v>0</v>
      </c>
    </row>
    <row r="39" spans="1:2" x14ac:dyDescent="0.25">
      <c r="A39" s="14" t="s">
        <v>7</v>
      </c>
      <c r="B39" s="14" t="s">
        <v>0</v>
      </c>
    </row>
    <row r="40" spans="1:2" x14ac:dyDescent="0.25">
      <c r="A40" s="13" t="s">
        <v>5</v>
      </c>
      <c r="B40" s="13" t="s">
        <v>0</v>
      </c>
    </row>
    <row r="41" spans="1:2" x14ac:dyDescent="0.25">
      <c r="A41" s="14" t="s">
        <v>6</v>
      </c>
      <c r="B41" s="14" t="s">
        <v>1</v>
      </c>
    </row>
    <row r="42" spans="1:2" x14ac:dyDescent="0.25">
      <c r="A42" s="13" t="s">
        <v>5</v>
      </c>
      <c r="B42" s="13" t="s">
        <v>0</v>
      </c>
    </row>
    <row r="43" spans="1:2" x14ac:dyDescent="0.25">
      <c r="A43" s="14" t="s">
        <v>5</v>
      </c>
      <c r="B43" s="14" t="s">
        <v>0</v>
      </c>
    </row>
    <row r="44" spans="1:2" x14ac:dyDescent="0.25">
      <c r="A44" s="13" t="s">
        <v>7</v>
      </c>
      <c r="B44" s="13" t="s">
        <v>0</v>
      </c>
    </row>
    <row r="45" spans="1:2" x14ac:dyDescent="0.25">
      <c r="A45" s="14" t="s">
        <v>4</v>
      </c>
      <c r="B45" s="14" t="s">
        <v>1</v>
      </c>
    </row>
    <row r="46" spans="1:2" x14ac:dyDescent="0.25">
      <c r="A46" s="13" t="s">
        <v>7</v>
      </c>
      <c r="B46" s="13" t="s">
        <v>0</v>
      </c>
    </row>
    <row r="47" spans="1:2" x14ac:dyDescent="0.25">
      <c r="A47" s="14" t="s">
        <v>3</v>
      </c>
      <c r="B47" s="14" t="s">
        <v>1</v>
      </c>
    </row>
    <row r="48" spans="1:2" x14ac:dyDescent="0.25">
      <c r="A48" s="13" t="s">
        <v>2</v>
      </c>
      <c r="B48" s="13" t="s">
        <v>0</v>
      </c>
    </row>
    <row r="49" spans="1:2" x14ac:dyDescent="0.25">
      <c r="A49" s="14" t="s">
        <v>6</v>
      </c>
      <c r="B49" s="14" t="s">
        <v>1</v>
      </c>
    </row>
    <row r="50" spans="1:2" x14ac:dyDescent="0.25">
      <c r="A50" s="13" t="s">
        <v>6</v>
      </c>
      <c r="B50" s="13" t="s">
        <v>1</v>
      </c>
    </row>
    <row r="51" spans="1:2" x14ac:dyDescent="0.25">
      <c r="A51" s="14" t="s">
        <v>7</v>
      </c>
      <c r="B51" s="14" t="s">
        <v>0</v>
      </c>
    </row>
    <row r="52" spans="1:2" x14ac:dyDescent="0.25">
      <c r="A52" s="13" t="s">
        <v>7</v>
      </c>
      <c r="B52" s="13" t="s">
        <v>0</v>
      </c>
    </row>
    <row r="53" spans="1:2" x14ac:dyDescent="0.25">
      <c r="A53" s="14" t="s">
        <v>3</v>
      </c>
      <c r="B53" s="14" t="s">
        <v>1</v>
      </c>
    </row>
    <row r="54" spans="1:2" x14ac:dyDescent="0.25">
      <c r="A54" s="13" t="s">
        <v>4</v>
      </c>
      <c r="B54" s="13" t="s">
        <v>1</v>
      </c>
    </row>
    <row r="55" spans="1:2" x14ac:dyDescent="0.25">
      <c r="A55" s="14" t="s">
        <v>5</v>
      </c>
      <c r="B55" s="14" t="s">
        <v>0</v>
      </c>
    </row>
    <row r="56" spans="1:2" x14ac:dyDescent="0.25">
      <c r="A56" s="13" t="s">
        <v>2</v>
      </c>
      <c r="B56" s="13" t="s">
        <v>0</v>
      </c>
    </row>
    <row r="57" spans="1:2" x14ac:dyDescent="0.25">
      <c r="A57" s="14" t="s">
        <v>6</v>
      </c>
      <c r="B57" s="14" t="s">
        <v>1</v>
      </c>
    </row>
    <row r="58" spans="1:2" x14ac:dyDescent="0.25">
      <c r="A58" s="13" t="s">
        <v>7</v>
      </c>
      <c r="B58" s="13" t="s">
        <v>0</v>
      </c>
    </row>
    <row r="59" spans="1:2" x14ac:dyDescent="0.25">
      <c r="A59" s="14" t="s">
        <v>4</v>
      </c>
      <c r="B59" s="14" t="s">
        <v>1</v>
      </c>
    </row>
    <row r="60" spans="1:2" x14ac:dyDescent="0.25">
      <c r="A60" s="13" t="s">
        <v>5</v>
      </c>
      <c r="B60" s="13" t="s">
        <v>0</v>
      </c>
    </row>
    <row r="61" spans="1:2" x14ac:dyDescent="0.25">
      <c r="A61" s="14" t="s">
        <v>7</v>
      </c>
      <c r="B61" s="14" t="s">
        <v>0</v>
      </c>
    </row>
    <row r="62" spans="1:2" x14ac:dyDescent="0.25">
      <c r="A62" s="13" t="s">
        <v>3</v>
      </c>
      <c r="B62" s="13" t="s">
        <v>1</v>
      </c>
    </row>
    <row r="63" spans="1:2" x14ac:dyDescent="0.25">
      <c r="A63" s="14" t="s">
        <v>2</v>
      </c>
      <c r="B63" s="14" t="s">
        <v>0</v>
      </c>
    </row>
    <row r="64" spans="1:2" x14ac:dyDescent="0.25">
      <c r="A64" s="13" t="s">
        <v>6</v>
      </c>
      <c r="B64" s="13" t="s">
        <v>1</v>
      </c>
    </row>
    <row r="65" spans="1:2" x14ac:dyDescent="0.25">
      <c r="A65" s="14" t="s">
        <v>2</v>
      </c>
      <c r="B65" s="14" t="s">
        <v>0</v>
      </c>
    </row>
    <row r="66" spans="1:2" x14ac:dyDescent="0.25">
      <c r="A66" s="13" t="s">
        <v>3</v>
      </c>
      <c r="B66" s="13" t="s">
        <v>1</v>
      </c>
    </row>
    <row r="67" spans="1:2" x14ac:dyDescent="0.25">
      <c r="A67" s="14" t="s">
        <v>7</v>
      </c>
      <c r="B67" s="14" t="s">
        <v>0</v>
      </c>
    </row>
    <row r="68" spans="1:2" x14ac:dyDescent="0.25">
      <c r="A68" s="13" t="s">
        <v>5</v>
      </c>
      <c r="B68" s="13" t="s">
        <v>0</v>
      </c>
    </row>
    <row r="69" spans="1:2" x14ac:dyDescent="0.25">
      <c r="A69" s="14" t="s">
        <v>4</v>
      </c>
      <c r="B69" s="14" t="s">
        <v>1</v>
      </c>
    </row>
    <row r="70" spans="1:2" x14ac:dyDescent="0.25">
      <c r="A70" s="13" t="s">
        <v>2</v>
      </c>
      <c r="B70" s="13" t="s">
        <v>0</v>
      </c>
    </row>
    <row r="71" spans="1:2" x14ac:dyDescent="0.25">
      <c r="A71" s="14" t="s">
        <v>7</v>
      </c>
      <c r="B71" s="14" t="s">
        <v>0</v>
      </c>
    </row>
    <row r="72" spans="1:2" x14ac:dyDescent="0.25">
      <c r="A72" s="13" t="s">
        <v>3</v>
      </c>
      <c r="B72" s="13" t="s">
        <v>1</v>
      </c>
    </row>
    <row r="73" spans="1:2" x14ac:dyDescent="0.25">
      <c r="A73" s="14" t="s">
        <v>2</v>
      </c>
      <c r="B73" s="14" t="s">
        <v>0</v>
      </c>
    </row>
    <row r="74" spans="1:2" x14ac:dyDescent="0.25">
      <c r="A74" s="13" t="s">
        <v>4</v>
      </c>
      <c r="B74" s="13" t="s">
        <v>1</v>
      </c>
    </row>
    <row r="75" spans="1:2" x14ac:dyDescent="0.25">
      <c r="A75" s="14" t="s">
        <v>4</v>
      </c>
      <c r="B75" s="14" t="s">
        <v>1</v>
      </c>
    </row>
    <row r="76" spans="1:2" x14ac:dyDescent="0.25">
      <c r="A76" s="13" t="s">
        <v>7</v>
      </c>
      <c r="B76" s="13" t="s">
        <v>0</v>
      </c>
    </row>
    <row r="77" spans="1:2" x14ac:dyDescent="0.25">
      <c r="A77" s="14" t="s">
        <v>2</v>
      </c>
      <c r="B77" s="14" t="s">
        <v>0</v>
      </c>
    </row>
    <row r="78" spans="1:2" x14ac:dyDescent="0.25">
      <c r="A78" s="13" t="s">
        <v>3</v>
      </c>
      <c r="B78" s="13" t="s">
        <v>1</v>
      </c>
    </row>
    <row r="79" spans="1:2" x14ac:dyDescent="0.25">
      <c r="A79" s="14" t="s">
        <v>7</v>
      </c>
      <c r="B79" s="14" t="s">
        <v>0</v>
      </c>
    </row>
    <row r="80" spans="1:2" x14ac:dyDescent="0.25">
      <c r="A80" s="13" t="s">
        <v>6</v>
      </c>
      <c r="B80" s="13" t="s">
        <v>1</v>
      </c>
    </row>
    <row r="81" spans="1:2" x14ac:dyDescent="0.25">
      <c r="A81" s="14" t="s">
        <v>5</v>
      </c>
      <c r="B81" s="14" t="s">
        <v>0</v>
      </c>
    </row>
    <row r="82" spans="1:2" x14ac:dyDescent="0.25">
      <c r="A82" s="13" t="s">
        <v>4</v>
      </c>
      <c r="B82" s="13" t="s">
        <v>1</v>
      </c>
    </row>
    <row r="83" spans="1:2" x14ac:dyDescent="0.25">
      <c r="A83" s="14" t="s">
        <v>4</v>
      </c>
      <c r="B83" s="14" t="s">
        <v>1</v>
      </c>
    </row>
    <row r="84" spans="1:2" x14ac:dyDescent="0.25">
      <c r="A84" s="13" t="s">
        <v>6</v>
      </c>
      <c r="B84" s="13" t="s">
        <v>1</v>
      </c>
    </row>
    <row r="85" spans="1:2" x14ac:dyDescent="0.25">
      <c r="A85" s="14" t="s">
        <v>3</v>
      </c>
      <c r="B85" s="14" t="s">
        <v>1</v>
      </c>
    </row>
    <row r="86" spans="1:2" x14ac:dyDescent="0.25">
      <c r="A86" s="13" t="s">
        <v>2</v>
      </c>
      <c r="B86" s="13" t="s">
        <v>0</v>
      </c>
    </row>
    <row r="87" spans="1:2" x14ac:dyDescent="0.25">
      <c r="A87" s="14" t="s">
        <v>6</v>
      </c>
      <c r="B87" s="14" t="s">
        <v>1</v>
      </c>
    </row>
    <row r="88" spans="1:2" x14ac:dyDescent="0.25">
      <c r="A88" s="13" t="s">
        <v>5</v>
      </c>
      <c r="B88" s="13" t="s">
        <v>0</v>
      </c>
    </row>
    <row r="89" spans="1:2" x14ac:dyDescent="0.25">
      <c r="A89" s="14" t="s">
        <v>7</v>
      </c>
      <c r="B89" s="14" t="s">
        <v>0</v>
      </c>
    </row>
    <row r="90" spans="1:2" x14ac:dyDescent="0.25">
      <c r="A90" s="13" t="s">
        <v>3</v>
      </c>
      <c r="B90" s="13" t="s">
        <v>1</v>
      </c>
    </row>
    <row r="91" spans="1:2" x14ac:dyDescent="0.25">
      <c r="A91" s="14" t="s">
        <v>5</v>
      </c>
      <c r="B91" s="14" t="s">
        <v>0</v>
      </c>
    </row>
    <row r="92" spans="1:2" x14ac:dyDescent="0.25">
      <c r="A92" s="13" t="s">
        <v>6</v>
      </c>
      <c r="B92" s="13" t="s">
        <v>1</v>
      </c>
    </row>
    <row r="93" spans="1:2" x14ac:dyDescent="0.25">
      <c r="A93" s="14" t="s">
        <v>4</v>
      </c>
      <c r="B93" s="14" t="s">
        <v>1</v>
      </c>
    </row>
    <row r="94" spans="1:2" x14ac:dyDescent="0.25">
      <c r="A94" s="13" t="s">
        <v>2</v>
      </c>
      <c r="B94" s="13" t="s">
        <v>0</v>
      </c>
    </row>
    <row r="95" spans="1:2" x14ac:dyDescent="0.25">
      <c r="A95" s="14" t="s">
        <v>3</v>
      </c>
      <c r="B95" s="14" t="s">
        <v>1</v>
      </c>
    </row>
    <row r="96" spans="1:2" x14ac:dyDescent="0.25">
      <c r="A96" s="13" t="s">
        <v>2</v>
      </c>
      <c r="B96" s="13" t="s">
        <v>0</v>
      </c>
    </row>
    <row r="97" spans="1:2" x14ac:dyDescent="0.25">
      <c r="A97" s="14" t="s">
        <v>6</v>
      </c>
      <c r="B97" s="14" t="s">
        <v>1</v>
      </c>
    </row>
    <row r="98" spans="1:2" x14ac:dyDescent="0.25">
      <c r="A98" s="13" t="s">
        <v>2</v>
      </c>
      <c r="B98" s="13" t="s">
        <v>0</v>
      </c>
    </row>
    <row r="99" spans="1:2" x14ac:dyDescent="0.25">
      <c r="A99" s="14" t="s">
        <v>6</v>
      </c>
      <c r="B99" s="14" t="s">
        <v>1</v>
      </c>
    </row>
    <row r="100" spans="1:2" x14ac:dyDescent="0.25">
      <c r="A100" s="13" t="s">
        <v>2</v>
      </c>
      <c r="B100" s="13" t="s">
        <v>0</v>
      </c>
    </row>
    <row r="101" spans="1:2" x14ac:dyDescent="0.25">
      <c r="A101" s="14" t="s">
        <v>7</v>
      </c>
      <c r="B101" s="14" t="s">
        <v>0</v>
      </c>
    </row>
    <row r="102" spans="1:2" x14ac:dyDescent="0.25">
      <c r="A102" s="15" t="s">
        <v>6</v>
      </c>
      <c r="B102" s="15" t="s">
        <v>1</v>
      </c>
    </row>
    <row r="103" spans="1:2" x14ac:dyDescent="0.25">
      <c r="A103" s="16" t="s">
        <v>5</v>
      </c>
      <c r="B103" s="16" t="s">
        <v>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743CF2-E639-4622-AED2-2AE8B11A97A8}">
  <dimension ref="B3:J26"/>
  <sheetViews>
    <sheetView topLeftCell="A8" workbookViewId="0">
      <selection activeCell="B3" sqref="B3"/>
    </sheetView>
  </sheetViews>
  <sheetFormatPr baseColWidth="10" defaultRowHeight="15" x14ac:dyDescent="0.25"/>
  <cols>
    <col min="2" max="2" bestFit="true" customWidth="true" width="16.5703125" collapsed="false"/>
    <col min="3" max="3" bestFit="true" customWidth="true" width="20.7109375" collapsed="false"/>
    <col min="4" max="4" bestFit="true" customWidth="true" width="11.85546875" collapsed="false"/>
    <col min="5" max="5" bestFit="true" customWidth="true" width="3.0" collapsed="false"/>
    <col min="6" max="6" bestFit="true" customWidth="true" width="11.85546875" collapsed="false"/>
    <col min="7" max="7" bestFit="true" customWidth="true" width="16.5703125" collapsed="false"/>
    <col min="8" max="9" bestFit="true" customWidth="true" width="17.42578125" collapsed="false"/>
    <col min="10" max="10" bestFit="true" customWidth="true" width="16.140625" collapsed="false"/>
  </cols>
  <sheetData>
    <row r="3" spans="2:3" x14ac:dyDescent="0.25">
      <c r="B3" s="8" t="s">
        <v>13</v>
      </c>
      <c r="C3" t="s">
        <v>15</v>
      </c>
    </row>
    <row r="4" spans="2:3" x14ac:dyDescent="0.25">
      <c r="B4" s="9" t="s">
        <v>7</v>
      </c>
      <c r="C4" s="11">
        <v>17</v>
      </c>
    </row>
    <row r="5" spans="2:3" x14ac:dyDescent="0.25">
      <c r="B5" s="9" t="s">
        <v>2</v>
      </c>
      <c r="C5" s="11">
        <v>22</v>
      </c>
    </row>
    <row r="6" spans="2:3" x14ac:dyDescent="0.25">
      <c r="B6" s="9" t="s">
        <v>5</v>
      </c>
      <c r="C6" s="11">
        <v>14</v>
      </c>
    </row>
    <row r="7" spans="2:3" x14ac:dyDescent="0.25">
      <c r="B7" s="9" t="s">
        <v>14</v>
      </c>
      <c r="C7" s="11">
        <v>53</v>
      </c>
    </row>
    <row r="9" spans="2:3" x14ac:dyDescent="0.25">
      <c r="B9" s="9" t="str">
        <f>B4</f>
        <v>L</v>
      </c>
      <c r="C9">
        <f>GETPIVOTDATA("[Measures].[Recuento de Columna2 3]",C3,"[Tabla3].[Columna1]","[Tabla3].[Columna1].&amp;[L]")</f>
        <v>17</v>
      </c>
    </row>
    <row r="10" spans="2:3" x14ac:dyDescent="0.25">
      <c r="B10" t="str">
        <f>B5</f>
        <v>M</v>
      </c>
      <c r="C10">
        <f>GETPIVOTDATA("[Measures].[Recuento de Columna2 3]",$B$3,"[Tabla3].[Columna1]","[Tabla3].[Columna1].&amp;[M]")</f>
        <v>22</v>
      </c>
    </row>
    <row r="11" spans="2:3" x14ac:dyDescent="0.25">
      <c r="B11" t="str">
        <f>B6</f>
        <v>S</v>
      </c>
      <c r="C11">
        <f>GETPIVOTDATA("[Measures].[Recuento de Columna2 3]",$B$3,"[Tabla3].[Columna1]","[Tabla3].[Columna1].&amp;[S]")</f>
        <v>14</v>
      </c>
    </row>
    <row r="12" spans="2:3" x14ac:dyDescent="0.25">
      <c r="B12" t="s">
        <v>4</v>
      </c>
      <c r="C12" t="e">
        <f>GETPIVOTDATA("[Measures].[Recuento de Columna2 3]",C3,"[Tabla3].[Columna1]","[Tabla3].[Columna1].&amp;[A]")</f>
        <v>#REF!</v>
      </c>
    </row>
    <row r="13" spans="2:3" x14ac:dyDescent="0.25">
      <c r="B13" t="s">
        <v>6</v>
      </c>
      <c r="C13" t="e">
        <f>GETPIVOTDATA("[Measures].[Recuento de Columna2 3]",$B$3,"[Tabla3].[Columna1]","[Tabla3].[Columna1].&amp;[B]")</f>
        <v>#REF!</v>
      </c>
    </row>
    <row r="14" spans="2:3" x14ac:dyDescent="0.25">
      <c r="B14" t="s">
        <v>3</v>
      </c>
      <c r="C14" t="e">
        <f>GETPIVOTDATA("[Measures].[Recuento de Columna2 3]",$B$3,"[Tabla3].[Columna1]","[Tabla3].[Columna1].&amp;[C]")</f>
        <v>#REF!</v>
      </c>
    </row>
    <row r="22" spans="7:10" x14ac:dyDescent="0.25">
      <c r="G22" s="8" t="s">
        <v>13</v>
      </c>
      <c r="H22" t="s">
        <v>19</v>
      </c>
      <c r="I22" t="s">
        <v>24</v>
      </c>
    </row>
    <row r="23" spans="7:10" x14ac:dyDescent="0.25">
      <c r="G23" s="9" t="s">
        <v>23</v>
      </c>
      <c r="H23" s="11"/>
      <c r="I23" s="11"/>
    </row>
    <row r="24" spans="7:10" x14ac:dyDescent="0.25">
      <c r="G24" s="10" t="s">
        <v>0</v>
      </c>
      <c r="H24" s="11">
        <v>3</v>
      </c>
      <c r="I24" s="12">
        <v>192059</v>
      </c>
    </row>
    <row r="25" spans="7:10" x14ac:dyDescent="0.25">
      <c r="G25" s="10" t="s">
        <v>1</v>
      </c>
      <c r="H25" s="11">
        <v>4</v>
      </c>
      <c r="I25" s="12">
        <v>220803</v>
      </c>
    </row>
    <row r="26" spans="7:10" ht="15.75" x14ac:dyDescent="0.25">
      <c r="G26" s="9" t="s">
        <v>14</v>
      </c>
      <c r="H26" s="11">
        <v>7</v>
      </c>
      <c r="I26" s="12">
        <v>412862</v>
      </c>
      <c r="J26" s="18">
        <f>GETPIVOTDATA("[Measures].[Suma de Columna7]",$G$22)</f>
        <v>412862</v>
      </c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C831CA-5A8C-48E5-9A16-90A5BBDA0486}">
  <dimension ref="B3:F6"/>
  <sheetViews>
    <sheetView workbookViewId="0">
      <selection activeCell="F9" sqref="F9"/>
    </sheetView>
  </sheetViews>
  <sheetFormatPr baseColWidth="10" defaultRowHeight="15" x14ac:dyDescent="0.25"/>
  <cols>
    <col min="2" max="2" bestFit="true" customWidth="true" width="17.42578125" collapsed="false"/>
    <col min="3" max="3" bestFit="true" customWidth="true" width="21.42578125" collapsed="false"/>
    <col min="4" max="4" bestFit="true" customWidth="true" width="10.5703125" collapsed="false"/>
    <col min="5" max="5" bestFit="true" customWidth="true" width="11.85546875" collapsed="false"/>
    <col min="6" max="6" bestFit="true" customWidth="true" width="13.7109375" collapsed="false"/>
  </cols>
  <sheetData>
    <row r="3" spans="2:6" x14ac:dyDescent="0.25">
      <c r="B3" s="8" t="s">
        <v>25</v>
      </c>
      <c r="C3" s="8" t="s">
        <v>20</v>
      </c>
    </row>
    <row r="4" spans="2:6" x14ac:dyDescent="0.25">
      <c r="B4" s="8" t="s">
        <v>13</v>
      </c>
      <c r="C4" t="s">
        <v>0</v>
      </c>
      <c r="D4" t="s">
        <v>1</v>
      </c>
      <c r="E4" t="s">
        <v>14</v>
      </c>
    </row>
    <row r="5" spans="2:6" x14ac:dyDescent="0.25">
      <c r="B5" s="9">
        <v>2</v>
      </c>
      <c r="C5" s="17">
        <v>1357861</v>
      </c>
      <c r="D5" s="17">
        <v>1145029</v>
      </c>
      <c r="E5" s="17">
        <v>2502890</v>
      </c>
    </row>
    <row r="6" spans="2:6" ht="15.75" x14ac:dyDescent="0.25">
      <c r="B6" s="9" t="s">
        <v>14</v>
      </c>
      <c r="C6" s="17">
        <v>1357861</v>
      </c>
      <c r="D6" s="17">
        <v>1145029</v>
      </c>
      <c r="E6" s="17">
        <v>2502890</v>
      </c>
      <c r="F6" s="18">
        <f>GETPIVOTDATA("[Measures].[Suma de Columna3]",$B$3)</f>
        <v>2502890</v>
      </c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customXml/_rels/item1.xml.rels><?xml version="1.0" encoding="UTF-8" standalone="no"?><Relationships xmlns="http://schemas.openxmlformats.org/package/2006/relationships"><Relationship Id="rId1" Target="itemProps1.xml" Type="http://schemas.openxmlformats.org/officeDocument/2006/relationships/customXmlProps"/></Relationships>
</file>

<file path=customXml/_rels/item2.xml.rels><?xml version="1.0" encoding="UTF-8" standalone="no"?><Relationships xmlns="http://schemas.openxmlformats.org/package/2006/relationships"><Relationship Id="rId1" Target="itemProps2.xml" Type="http://schemas.openxmlformats.org/officeDocument/2006/relationships/customXmlProps"/></Relationships>
</file>

<file path=customXml/_rels/item3.xml.rels><?xml version="1.0" encoding="UTF-8" standalone="no"?><Relationships xmlns="http://schemas.openxmlformats.org/package/2006/relationships"><Relationship Id="rId1" Target="itemProps3.xml" Type="http://schemas.openxmlformats.org/officeDocument/2006/relationships/customXmlProps"/></Relationships>
</file>

<file path=customXml/_rels/item4.xml.rels><?xml version="1.0" encoding="UTF-8" standalone="no"?><Relationships xmlns="http://schemas.openxmlformats.org/package/2006/relationships"><Relationship Id="rId1" Target="itemProps4.xml" Type="http://schemas.openxmlformats.org/officeDocument/2006/relationships/customXmlProps"/></Relationships>
</file>

<file path=customXml/_rels/item5.xml.rels><?xml version="1.0" encoding="UTF-8" standalone="no"?><Relationships xmlns="http://schemas.openxmlformats.org/package/2006/relationships"><Relationship Id="rId1" Target="itemProps5.xml" Type="http://schemas.openxmlformats.org/officeDocument/2006/relationships/customXmlProps"/></Relationships>
</file>

<file path=customXml/_rels/item6.xml.rels><?xml version="1.0" encoding="UTF-8" standalone="no"?><Relationships xmlns="http://schemas.openxmlformats.org/package/2006/relationships"><Relationship Id="rId1" Target="itemProps6.xml" Type="http://schemas.openxmlformats.org/officeDocument/2006/relationships/customXmlProps"/></Relationships>
</file>

<file path=customXml/_rels/item7.xml.rels><?xml version="1.0" encoding="UTF-8" standalone="no"?><Relationships xmlns="http://schemas.openxmlformats.org/package/2006/relationships"><Relationship Id="rId1" Target="itemProps7.xml" Type="http://schemas.openxmlformats.org/officeDocument/2006/relationships/customXmlProps"/></Relationships>
</file>

<file path=customXml/_rels/item8.xml.rels><?xml version="1.0" encoding="UTF-8" standalone="no"?><Relationships xmlns="http://schemas.openxmlformats.org/package/2006/relationships"><Relationship Id="rId1" Target="itemProps8.xml" Type="http://schemas.openxmlformats.org/officeDocument/2006/relationships/customXmlProps"/></Relationships>
</file>

<file path=customXml/_rels/item9.xml.rels><?xml version="1.0" encoding="UTF-8" standalone="no"?><Relationships xmlns="http://schemas.openxmlformats.org/package/2006/relationships"><Relationship Id="rId1" Target="itemProps9.xml" Type="http://schemas.openxmlformats.org/officeDocument/2006/relationships/customXmlProps"/></Relationships>
</file>

<file path=customXml/_rels/item10.xml.rels><?xml version="1.0" encoding="UTF-8" standalone="no"?><Relationships xmlns="http://schemas.openxmlformats.org/package/2006/relationships"><Relationship Id="rId1" Target="itemProps10.xml" Type="http://schemas.openxmlformats.org/officeDocument/2006/relationships/customXmlProps"/></Relationships>
</file>

<file path=customXml/_rels/item11.xml.rels><?xml version="1.0" encoding="UTF-8" standalone="no"?><Relationships xmlns="http://schemas.openxmlformats.org/package/2006/relationships"><Relationship Id="rId1" Target="itemProps11.xml" Type="http://schemas.openxmlformats.org/officeDocument/2006/relationships/customXmlProps"/></Relationships>
</file>

<file path=customXml/_rels/item12.xml.rels><?xml version="1.0" encoding="UTF-8" standalone="no"?><Relationships xmlns="http://schemas.openxmlformats.org/package/2006/relationships"><Relationship Id="rId1" Target="itemProps12.xml" Type="http://schemas.openxmlformats.org/officeDocument/2006/relationships/customXmlProps"/></Relationships>
</file>

<file path=customXml/_rels/item13.xml.rels><?xml version="1.0" encoding="UTF-8" standalone="no"?><Relationships xmlns="http://schemas.openxmlformats.org/package/2006/relationships"><Relationship Id="rId1" Target="itemProps13.xml" Type="http://schemas.openxmlformats.org/officeDocument/2006/relationships/customXmlProps"/></Relationships>
</file>

<file path=customXml/_rels/item14.xml.rels><?xml version="1.0" encoding="UTF-8" standalone="no"?><Relationships xmlns="http://schemas.openxmlformats.org/package/2006/relationships"><Relationship Id="rId1" Target="itemProps14.xml" Type="http://schemas.openxmlformats.org/officeDocument/2006/relationships/customXmlProps"/></Relationships>
</file>

<file path=customXml/_rels/item15.xml.rels><?xml version="1.0" encoding="UTF-8" standalone="no"?><Relationships xmlns="http://schemas.openxmlformats.org/package/2006/relationships"><Relationship Id="rId1" Target="itemProps15.xml" Type="http://schemas.openxmlformats.org/officeDocument/2006/relationships/customXmlProps"/></Relationships>
</file>

<file path=customXml/_rels/item16.xml.rels><?xml version="1.0" encoding="UTF-8" standalone="no"?><Relationships xmlns="http://schemas.openxmlformats.org/package/2006/relationships"><Relationship Id="rId1" Target="itemProps16.xml" Type="http://schemas.openxmlformats.org/officeDocument/2006/relationships/customXmlProps"/></Relationships>
</file>

<file path=customXml/_rels/item17.xml.rels><?xml version="1.0" encoding="UTF-8" standalone="no"?><Relationships xmlns="http://schemas.openxmlformats.org/package/2006/relationships"><Relationship Id="rId1" Target="itemProps17.xml" Type="http://schemas.openxmlformats.org/officeDocument/2006/relationships/customXmlProps"/></Relationships>
</file>

<file path=customXml/_rels/item18.xml.rels><?xml version="1.0" encoding="UTF-8" standalone="no"?><Relationships xmlns="http://schemas.openxmlformats.org/package/2006/relationships"><Relationship Id="rId1" Target="itemProps18.xml" Type="http://schemas.openxmlformats.org/officeDocument/2006/relationships/customXmlProps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BA37F04B-8B22-423B-A849-23A5EE5EDFE7}">
  <ds:schemaRefs/>
</ds:datastoreItem>
</file>

<file path=customXml/itemProps2.xml><?xml version="1.0" encoding="utf-8"?>
<ds:datastoreItem xmlns:ds="http://schemas.openxmlformats.org/officeDocument/2006/customXml" ds:itemID="{F29D4817-6761-4DF2-9E93-1BC3F23055F1}">
  <ds:schemaRefs/>
</ds:datastoreItem>
</file>

<file path=customXml/itemProps3.xml><?xml version="1.0" encoding="utf-8"?>
<ds:datastoreItem xmlns:ds="http://schemas.openxmlformats.org/officeDocument/2006/customXml" ds:itemID="{0994E506-F837-4E7C-8346-64BB3228FF6C}">
  <ds:schemaRefs/>
</ds:datastoreItem>
</file>

<file path=customXml/itemProps4.xml><?xml version="1.0" encoding="utf-8"?>
<ds:datastoreItem xmlns:ds="http://schemas.openxmlformats.org/officeDocument/2006/customXml" ds:itemID="{29D9E9ED-540A-45E6-BE81-F2046F85342E}">
  <ds:schemaRefs/>
</ds:datastoreItem>
</file>

<file path=customXml/itemProps5.xml><?xml version="1.0" encoding="utf-8"?>
<ds:datastoreItem xmlns:ds="http://schemas.openxmlformats.org/officeDocument/2006/customXml" ds:itemID="{91BF32A1-B0E1-475E-8413-96B8008485B5}">
  <ds:schemaRefs/>
</ds:datastoreItem>
</file>

<file path=customXml/itemProps6.xml><?xml version="1.0" encoding="utf-8"?>
<ds:datastoreItem xmlns:ds="http://schemas.openxmlformats.org/officeDocument/2006/customXml" ds:itemID="{D23E989A-8E03-49BA-B526-3DA49C8919D5}">
  <ds:schemaRefs/>
</ds:datastoreItem>
</file>

<file path=customXml/itemProps7.xml><?xml version="1.0" encoding="utf-8"?>
<ds:datastoreItem xmlns:ds="http://schemas.openxmlformats.org/officeDocument/2006/customXml" ds:itemID="{58D83B5B-804D-485F-AB1A-C182CD01AEDB}">
  <ds:schemaRefs/>
</ds:datastoreItem>
</file>

<file path=customXml/itemProps8.xml><?xml version="1.0" encoding="utf-8"?>
<ds:datastoreItem xmlns:ds="http://schemas.openxmlformats.org/officeDocument/2006/customXml" ds:itemID="{FFF04F6F-934F-407D-BC26-1E26F2F5C460}">
  <ds:schemaRefs/>
</ds:datastoreItem>
</file>

<file path=customXml/itemProps9.xml><?xml version="1.0" encoding="utf-8"?>
<ds:datastoreItem xmlns:ds="http://schemas.openxmlformats.org/officeDocument/2006/customXml" ds:itemID="{CD57ED38-05FF-49EC-B9C8-AA844C24A351}">
  <ds:schemaRefs/>
</ds:datastoreItem>
</file>

<file path=customXml/itemProps10.xml><?xml version="1.0" encoding="utf-8"?>
<ds:datastoreItem xmlns:ds="http://schemas.openxmlformats.org/officeDocument/2006/customXml" ds:itemID="{EF03BB60-740D-48A8-9971-860B457779BC}">
  <ds:schemaRefs/>
</ds:datastoreItem>
</file>

<file path=customXml/itemProps11.xml><?xml version="1.0" encoding="utf-8"?>
<ds:datastoreItem xmlns:ds="http://schemas.openxmlformats.org/officeDocument/2006/customXml" ds:itemID="{78ACF2F3-7DCE-4729-862F-E14F72D7BB71}">
  <ds:schemaRefs/>
</ds:datastoreItem>
</file>

<file path=customXml/itemProps12.xml><?xml version="1.0" encoding="utf-8"?>
<ds:datastoreItem xmlns:ds="http://schemas.openxmlformats.org/officeDocument/2006/customXml" ds:itemID="{8EA727FC-8B40-4FDA-B73D-6D5571835EBC}">
  <ds:schemaRefs/>
</ds:datastoreItem>
</file>

<file path=customXml/itemProps13.xml><?xml version="1.0" encoding="utf-8"?>
<ds:datastoreItem xmlns:ds="http://schemas.openxmlformats.org/officeDocument/2006/customXml" ds:itemID="{3C77523B-ECA0-49CF-B582-4333B49F7E3E}">
  <ds:schemaRefs/>
</ds:datastoreItem>
</file>

<file path=customXml/itemProps14.xml><?xml version="1.0" encoding="utf-8"?>
<ds:datastoreItem xmlns:ds="http://schemas.openxmlformats.org/officeDocument/2006/customXml" ds:itemID="{5DBC5900-7F77-42A4-86DC-FE3DC3AE551E}">
  <ds:schemaRefs/>
</ds:datastoreItem>
</file>

<file path=customXml/itemProps15.xml><?xml version="1.0" encoding="utf-8"?>
<ds:datastoreItem xmlns:ds="http://schemas.openxmlformats.org/officeDocument/2006/customXml" ds:itemID="{A2946236-A050-4ABC-AEC2-A8A202E89645}">
  <ds:schemaRefs/>
</ds:datastoreItem>
</file>

<file path=customXml/itemProps16.xml><?xml version="1.0" encoding="utf-8"?>
<ds:datastoreItem xmlns:ds="http://schemas.openxmlformats.org/officeDocument/2006/customXml" ds:itemID="{DB990D9C-B190-48E7-90B2-C27AEBE4E302}">
  <ds:schemaRefs/>
</ds:datastoreItem>
</file>

<file path=customXml/itemProps17.xml><?xml version="1.0" encoding="utf-8"?>
<ds:datastoreItem xmlns:ds="http://schemas.openxmlformats.org/officeDocument/2006/customXml" ds:itemID="{F55335AD-0AE3-49E7-B2E1-4524FFDC8634}">
  <ds:schemaRefs/>
</ds:datastoreItem>
</file>

<file path=customXml/itemProps18.xml><?xml version="1.0" encoding="utf-8"?>
<ds:datastoreItem xmlns:ds="http://schemas.openxmlformats.org/officeDocument/2006/customXml" ds:itemID="{60164C13-952E-4CF1-9EE7-C84AE03F11F4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INVENTARIO</vt:lpstr>
      <vt:lpstr>VENTA</vt:lpstr>
      <vt:lpstr>FACTURA</vt:lpstr>
      <vt:lpstr>DASHBOARD</vt:lpstr>
      <vt:lpstr>Respuesta 1</vt:lpstr>
      <vt:lpstr>Respuesta 2</vt:lpstr>
      <vt:lpstr>Respuesta2.1</vt:lpstr>
      <vt:lpstr>Respuesta 2.2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2023-10-28T13:15:37Z</dcterms:created>
  <dc:creator>ESTEBAN</dc:creator>
  <cp:lastModifiedBy>ESTEBAN</cp:lastModifiedBy>
  <dcterms:modified xsi:type="dcterms:W3CDTF">2023-11-02T19:27:05Z</dcterms:modified>
</cp:coreProperties>
</file>